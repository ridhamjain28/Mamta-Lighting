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5"/>
    <sheet state="visible" name="Preview" sheetId="2" r:id="rId6"/>
    <sheet state="visible" name="Norisys-White" sheetId="3" r:id="rId7"/>
    <sheet state="visible" name="Norisys-Grey" sheetId="4" r:id="rId8"/>
    <sheet state="visible" name="Norisys-Black" sheetId="5" r:id="rId9"/>
    <sheet state="visible" name="Magnus-Grey" sheetId="6" r:id="rId10"/>
    <sheet state="visible" name="Magnus-White" sheetId="7" r:id="rId11"/>
    <sheet state="visible" name="Signia-White" sheetId="8" r:id="rId12"/>
    <sheet state="visible" name="Signia-Grey" sheetId="9" r:id="rId13"/>
    <sheet state="visible" name="Fabio-White" sheetId="10" r:id="rId14"/>
    <sheet state="visible" name="Fabio-Black" sheetId="11" r:id="rId15"/>
    <sheet state="visible" name="Apogee-Black" sheetId="12" r:id="rId16"/>
    <sheet state="visible" name="Apogee-White" sheetId="13" r:id="rId17"/>
    <sheet state="visible" name="Apogee-Grey" sheetId="14" r:id="rId18"/>
    <sheet state="visible" name="T&amp;C" sheetId="15" r:id="rId19"/>
  </sheets>
  <definedNames/>
  <calcPr/>
</workbook>
</file>

<file path=xl/sharedStrings.xml><?xml version="1.0" encoding="utf-8"?>
<sst xmlns="http://schemas.openxmlformats.org/spreadsheetml/2006/main" count="999" uniqueCount="108">
  <si>
    <t>CHOOSE SERIES</t>
  </si>
  <si>
    <t>Signia-Grey</t>
  </si>
  <si>
    <t xml:space="preserve">Total </t>
  </si>
  <si>
    <t>GST</t>
  </si>
  <si>
    <t>Customer Name</t>
  </si>
  <si>
    <t>CAS</t>
  </si>
  <si>
    <t>Customer Number</t>
  </si>
  <si>
    <t>Discount</t>
  </si>
  <si>
    <t>Product</t>
  </si>
  <si>
    <t>Qty</t>
  </si>
  <si>
    <t>Manual Discount</t>
  </si>
  <si>
    <t>List Price</t>
  </si>
  <si>
    <t>Manual Price</t>
  </si>
  <si>
    <t>Net Price</t>
  </si>
  <si>
    <t>Total</t>
  </si>
  <si>
    <t/>
  </si>
  <si>
    <t>12, Kashyap Chambers,Opp. Mudit Palace, Station Road,Bardoli - 394601</t>
  </si>
  <si>
    <t>QUOTATION</t>
  </si>
  <si>
    <t>2M</t>
  </si>
  <si>
    <t>3M</t>
  </si>
  <si>
    <t>4M</t>
  </si>
  <si>
    <t>6M</t>
  </si>
  <si>
    <t>8M(H)</t>
  </si>
  <si>
    <t>8M(S)</t>
  </si>
  <si>
    <t>12M</t>
  </si>
  <si>
    <t>16M</t>
  </si>
  <si>
    <t>Subtotal</t>
  </si>
  <si>
    <t>18% GST</t>
  </si>
  <si>
    <t>Terms &amp; Conditions:</t>
  </si>
  <si>
    <t>1. Prices are subject to change without prior notice.</t>
  </si>
  <si>
    <t>2. Goods once sold will not be taken back.</t>
  </si>
  <si>
    <t>3. Delivery subject to stock availability.</t>
  </si>
  <si>
    <t>4. The quotation is only valid till 3 days from date provided.</t>
  </si>
  <si>
    <t>5. This is inclusive of all the charges (GST, Freight Charges if any).</t>
  </si>
  <si>
    <t>Looking Forward To Your Valuable Order!</t>
  </si>
  <si>
    <t>Product Name</t>
  </si>
  <si>
    <t>Price</t>
  </si>
  <si>
    <t>Switch 6A One-way - 1 Module</t>
  </si>
  <si>
    <t>Switch 6A Two-way - 1 Module</t>
  </si>
  <si>
    <t>Switch 16A One-way with Indicator - 1 Module</t>
  </si>
  <si>
    <t>Switch 6A - Bell - 1 Module</t>
  </si>
  <si>
    <t>Socket 6A 3-Pin-only Shuttered - 2 Module</t>
  </si>
  <si>
    <t>Socket 16A and 6A 3-Pin Shuttered - 2 Module</t>
  </si>
  <si>
    <t>Fan Regulator for 120W fan - 2 Module</t>
  </si>
  <si>
    <t>Indicator Light - 1 Module</t>
  </si>
  <si>
    <t>Step Marker Lamp/Night Lamp - 2 Module</t>
  </si>
  <si>
    <t>USB Charger Socket Outlet A+C Type - 1 Module</t>
  </si>
  <si>
    <t>Blanking Plate - 1 Module</t>
  </si>
  <si>
    <t>1M</t>
  </si>
  <si>
    <t>14M</t>
  </si>
  <si>
    <t>21M</t>
  </si>
  <si>
    <t>AC STARTER</t>
  </si>
  <si>
    <t>Buzzer</t>
  </si>
  <si>
    <t>UNIVERSAL SOCKET</t>
  </si>
  <si>
    <t>FOOT LIGHT</t>
  </si>
  <si>
    <t>TINY MCB 6A-32A</t>
  </si>
  <si>
    <t>6A Switch 1Way</t>
  </si>
  <si>
    <t>6A Switch 2Way</t>
  </si>
  <si>
    <t>6A 1Way Bell Push</t>
  </si>
  <si>
    <t>16A Switch 1Way</t>
  </si>
  <si>
    <t>16A Switch 1Way Ind.</t>
  </si>
  <si>
    <t>6A Switch 1Way Mega Bell Push Ind.</t>
  </si>
  <si>
    <t>25A One Way Switch</t>
  </si>
  <si>
    <t>32A DP Switch 1Way Ind.</t>
  </si>
  <si>
    <t>6AX One Way Flat Switch</t>
  </si>
  <si>
    <t>6AX Two Way Flat Switch</t>
  </si>
  <si>
    <t>6A Bell Push Flat Switch</t>
  </si>
  <si>
    <t>16AX One Way Flat Switch</t>
  </si>
  <si>
    <t>16AX One Way Flat Switch Ind</t>
  </si>
  <si>
    <t>6A 3 Pin Socket</t>
  </si>
  <si>
    <t>6A/16A Socket</t>
  </si>
  <si>
    <t>1M Fan Regulator</t>
  </si>
  <si>
    <t>2M Fan Regulator</t>
  </si>
  <si>
    <t>2M LED Fan Regulator</t>
  </si>
  <si>
    <t>Telephone Socket - 1M</t>
  </si>
  <si>
    <t>Computer Jack</t>
  </si>
  <si>
    <t>TV Socket</t>
  </si>
  <si>
    <t>Indicator Lamp</t>
  </si>
  <si>
    <t>1M Dummy Plate</t>
  </si>
  <si>
    <t>1M USB Socket 2.1A</t>
  </si>
  <si>
    <t>20A Motor Starter</t>
  </si>
  <si>
    <t>25A Motor Starter</t>
  </si>
  <si>
    <t>6A SP 1' MINI MCB</t>
  </si>
  <si>
    <t>10A SP 'C' MINI MCB</t>
  </si>
  <si>
    <t>16A SP 'C' MINI MCB</t>
  </si>
  <si>
    <t>20A SP 'C' MINI MCB</t>
  </si>
  <si>
    <t>25A SP 'C' MINI MCB</t>
  </si>
  <si>
    <t>32A SP 'C' MINI MCB</t>
  </si>
  <si>
    <t>18M</t>
  </si>
  <si>
    <t>6A Mega Bell Push Ind.</t>
  </si>
  <si>
    <t>16A Switch 2Way</t>
  </si>
  <si>
    <t>20A DP Switch 1Way Ind.</t>
  </si>
  <si>
    <t>2M Footlight</t>
  </si>
  <si>
    <t>Blank Plate</t>
  </si>
  <si>
    <t>2M Buzzer</t>
  </si>
  <si>
    <t>TYPE C 2.1A USB CHARGER</t>
  </si>
  <si>
    <t>9M</t>
  </si>
  <si>
    <t>6A Flat 1Way</t>
  </si>
  <si>
    <t>6A Flat 2Way</t>
  </si>
  <si>
    <t>6A Flat Bell Push</t>
  </si>
  <si>
    <t>16A Flat 1Way</t>
  </si>
  <si>
    <t>16A Flat 1Way with Ind</t>
  </si>
  <si>
    <t>32A Motor Starter</t>
  </si>
  <si>
    <t>6A Switch 1Way 1M</t>
  </si>
  <si>
    <t>25A Switch 1Way</t>
  </si>
  <si>
    <t>25A DP Switch 1Way</t>
  </si>
  <si>
    <t>32A DP Switch 1Way</t>
  </si>
  <si>
    <t>3M Footlight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</si>
</sst>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sz val="13.0"/>
      <color theme="1"/>
      <name val="Arial"/>
    </font>
    <font>
      <sz val="19.0"/>
      <color theme="1"/>
      <name val="Arial"/>
      <scheme val="minor"/>
    </font>
    <font>
      <sz val="19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sz val="8.0"/>
      <color theme="1"/>
      <name val="Arial"/>
    </font>
    <font>
      <sz val="8.0"/>
      <color rgb="FF000000"/>
      <name val="Arial"/>
    </font>
    <font>
      <sz val="8.0"/>
      <color theme="1"/>
      <name val="Arial"/>
      <scheme val="minor"/>
    </font>
    <font>
      <b/>
      <sz val="8.0"/>
      <color theme="1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8.0"/>
      <color rgb="FF000000"/>
      <name val="Arial"/>
      <scheme val="minor"/>
    </font>
    <font>
      <sz val="9.0"/>
      <color rgb="FF000000"/>
      <name val="Arial"/>
    </font>
    <font>
      <sz val="8.0"/>
      <color rgb="FF000000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i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wrapText="0"/>
    </xf>
    <xf borderId="0" fillId="2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2" fontId="8" numFmtId="0" xfId="0" applyAlignment="1" applyBorder="1" applyFont="1">
      <alignment vertical="bottom"/>
    </xf>
    <xf borderId="1" fillId="0" fontId="2" numFmtId="0" xfId="0" applyBorder="1" applyFont="1"/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1" fillId="2" fontId="9" numFmtId="0" xfId="0" applyAlignment="1" applyBorder="1" applyFont="1">
      <alignment readingOrder="0"/>
    </xf>
    <xf borderId="0" fillId="2" fontId="2" numFmtId="0" xfId="0" applyFont="1"/>
    <xf borderId="0" fillId="0" fontId="9" numFmtId="0" xfId="0" applyFont="1"/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right" vertical="center"/>
    </xf>
    <xf borderId="0" fillId="0" fontId="0" numFmtId="0" xfId="0" applyAlignment="1" applyFont="1">
      <alignment horizontal="left" readingOrder="0" vertical="center"/>
    </xf>
    <xf borderId="0" fillId="0" fontId="0" numFmtId="0" xfId="0" applyAlignment="1" applyFont="1">
      <alignment horizontal="right" readingOrder="0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right" vertical="center"/>
    </xf>
    <xf borderId="0" fillId="0" fontId="11" numFmtId="4" xfId="0" applyAlignment="1" applyFont="1" applyNumberFormat="1">
      <alignment horizontal="right" vertical="center"/>
    </xf>
    <xf borderId="0" fillId="0" fontId="9" numFmtId="4" xfId="0" applyFont="1" applyNumberFormat="1"/>
    <xf borderId="0" fillId="0" fontId="12" numFmtId="0" xfId="0" applyFont="1"/>
    <xf borderId="0" fillId="3" fontId="13" numFmtId="0" xfId="0" applyAlignment="1" applyFill="1" applyFont="1">
      <alignment shrinkToFit="0" wrapText="1"/>
    </xf>
    <xf borderId="0" fillId="3" fontId="13" numFmtId="0" xfId="0" applyFont="1"/>
    <xf borderId="0" fillId="0" fontId="14" numFmtId="0" xfId="0" applyFont="1"/>
    <xf borderId="0" fillId="3" fontId="13" numFmtId="0" xfId="0" applyAlignment="1" applyFont="1">
      <alignment horizontal="right" readingOrder="0" shrinkToFit="0" vertical="top" wrapText="1"/>
    </xf>
    <xf borderId="0" fillId="3" fontId="15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3" fontId="15" numFmtId="0" xfId="0" applyAlignment="1" applyFont="1">
      <alignment horizontal="left" shrinkToFit="0" vertical="bottom" wrapText="0"/>
    </xf>
    <xf borderId="0" fillId="3" fontId="16" numFmtId="0" xfId="0" applyAlignment="1" applyFont="1">
      <alignment horizontal="right" readingOrder="0" shrinkToFit="0" vertical="bottom" wrapText="1"/>
    </xf>
    <xf borderId="0" fillId="0" fontId="9" numFmtId="0" xfId="0" applyAlignment="1" applyFont="1">
      <alignment horizontal="left"/>
    </xf>
    <xf borderId="0" fillId="3" fontId="15" numFmtId="0" xfId="0" applyAlignment="1" applyFont="1">
      <alignment horizontal="right" shrinkToFit="0" vertical="bottom" wrapText="1"/>
    </xf>
    <xf borderId="0" fillId="0" fontId="12" numFmtId="0" xfId="0" applyAlignment="1" applyFont="1">
      <alignment horizontal="left"/>
    </xf>
    <xf borderId="0" fillId="0" fontId="9" numFmtId="0" xfId="0" applyAlignment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1" fillId="3" fontId="17" numFmtId="0" xfId="0" applyAlignment="1" applyBorder="1" applyFont="1">
      <alignment horizontal="center" readingOrder="0" vertical="center"/>
    </xf>
    <xf borderId="1" fillId="3" fontId="17" numFmtId="4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vertical="center" wrapText="1"/>
    </xf>
    <xf borderId="1" fillId="3" fontId="19" numFmtId="0" xfId="0" applyAlignment="1" applyBorder="1" applyFont="1">
      <alignment horizontal="left" readingOrder="0" shrinkToFit="0" vertical="center" wrapText="1"/>
    </xf>
    <xf borderId="1" fillId="3" fontId="19" numFmtId="0" xfId="0" applyAlignment="1" applyBorder="1" applyFont="1">
      <alignment horizontal="right" readingOrder="0" vertical="center"/>
    </xf>
    <xf borderId="1" fillId="3" fontId="19" numFmtId="4" xfId="0" applyAlignment="1" applyBorder="1" applyFont="1" applyNumberFormat="1">
      <alignment horizontal="right" readingOrder="0" vertical="center"/>
    </xf>
    <xf borderId="0" fillId="0" fontId="20" numFmtId="0" xfId="0" applyAlignment="1" applyFont="1">
      <alignment horizontal="left" readingOrder="0"/>
    </xf>
    <xf borderId="0" fillId="0" fontId="18" numFmtId="0" xfId="0" applyAlignment="1" applyFont="1">
      <alignment horizontal="center" readingOrder="0"/>
    </xf>
    <xf borderId="0" fillId="0" fontId="14" numFmtId="0" xfId="0" applyFont="1"/>
    <xf borderId="0" fillId="0" fontId="13" numFmtId="0" xfId="0" applyAlignment="1" applyFont="1">
      <alignment horizontal="left" readingOrder="0" vertical="center"/>
    </xf>
    <xf borderId="1" fillId="3" fontId="19" numFmtId="0" xfId="0" applyAlignment="1" applyBorder="1" applyFont="1">
      <alignment horizontal="left" readingOrder="0" vertical="center"/>
    </xf>
    <xf borderId="0" fillId="0" fontId="14" numFmtId="4" xfId="0" applyFont="1" applyNumberFormat="1"/>
    <xf borderId="1" fillId="4" fontId="17" numFmtId="0" xfId="0" applyAlignment="1" applyBorder="1" applyFill="1" applyFont="1">
      <alignment horizontal="left" readingOrder="0" vertical="center"/>
    </xf>
    <xf borderId="1" fillId="4" fontId="17" numFmtId="0" xfId="0" applyAlignment="1" applyBorder="1" applyFont="1">
      <alignment horizontal="right" readingOrder="0" vertical="center"/>
    </xf>
    <xf borderId="1" fillId="4" fontId="17" numFmtId="4" xfId="0" applyAlignment="1" applyBorder="1" applyFont="1" applyNumberFormat="1">
      <alignment horizontal="right" readingOrder="0" vertical="center"/>
    </xf>
    <xf borderId="0" fillId="3" fontId="17" numFmtId="0" xfId="0" applyAlignment="1" applyFont="1">
      <alignment horizontal="left" readingOrder="0" vertical="center"/>
    </xf>
    <xf borderId="0" fillId="3" fontId="17" numFmtId="0" xfId="0" applyAlignment="1" applyFont="1">
      <alignment horizontal="center" readingOrder="0" vertical="center"/>
    </xf>
    <xf borderId="0" fillId="3" fontId="17" numFmtId="0" xfId="0" applyAlignment="1" applyFont="1">
      <alignment horizontal="right" readingOrder="0" vertical="center"/>
    </xf>
    <xf borderId="0" fillId="3" fontId="17" numFmtId="4" xfId="0" applyAlignment="1" applyFont="1" applyNumberFormat="1">
      <alignment horizontal="right" readingOrder="0" vertical="center"/>
    </xf>
    <xf borderId="0" fillId="3" fontId="19" numFmtId="0" xfId="0" applyAlignment="1" applyFont="1">
      <alignment horizontal="left" readingOrder="0" vertical="center"/>
    </xf>
    <xf borderId="0" fillId="3" fontId="19" numFmtId="0" xfId="0" applyAlignment="1" applyFont="1">
      <alignment horizontal="right" readingOrder="0" vertical="center"/>
    </xf>
    <xf borderId="0" fillId="3" fontId="19" numFmtId="4" xfId="0" applyAlignment="1" applyFont="1" applyNumberFormat="1">
      <alignment horizontal="right" readingOrder="0" vertical="center"/>
    </xf>
    <xf borderId="0" fillId="0" fontId="16" numFmtId="0" xfId="0" applyAlignment="1" applyFont="1">
      <alignment horizontal="left" readingOrder="0" vertical="center"/>
    </xf>
    <xf borderId="0" fillId="3" fontId="19" numFmtId="0" xfId="0" applyAlignment="1" applyFont="1">
      <alignment horizontal="left" vertical="center"/>
    </xf>
    <xf borderId="0" fillId="3" fontId="19" numFmtId="0" xfId="0" applyAlignment="1" applyFont="1">
      <alignment horizontal="right" vertical="center"/>
    </xf>
    <xf borderId="0" fillId="3" fontId="19" numFmtId="0" xfId="0" applyAlignment="1" applyFont="1">
      <alignment horizontal="right" readingOrder="0" vertical="center"/>
    </xf>
    <xf borderId="0" fillId="3" fontId="19" numFmtId="0" xfId="0" applyAlignment="1" applyFont="1">
      <alignment horizontal="right" vertical="center"/>
    </xf>
    <xf borderId="0" fillId="3" fontId="20" numFmtId="0" xfId="0" applyAlignment="1" applyFont="1">
      <alignment horizontal="left" readingOrder="0" vertical="center"/>
    </xf>
    <xf borderId="0" fillId="3" fontId="14" numFmtId="0" xfId="0" applyFont="1"/>
    <xf borderId="0" fillId="3" fontId="14" numFmtId="0" xfId="0" applyAlignment="1" applyFont="1">
      <alignment horizontal="left" vertical="center"/>
    </xf>
    <xf borderId="0" fillId="3" fontId="18" numFmtId="0" xfId="0" applyAlignment="1" applyFont="1">
      <alignment horizontal="center" readingOrder="0" vertical="center"/>
    </xf>
    <xf borderId="0" fillId="3" fontId="18" numFmtId="0" xfId="0" applyAlignment="1" applyFont="1">
      <alignment horizontal="center" readingOrder="0"/>
    </xf>
    <xf borderId="0" fillId="0" fontId="12" numFmtId="0" xfId="0" applyAlignment="1" applyFont="1">
      <alignment horizontal="center" vertical="center"/>
    </xf>
    <xf borderId="0" fillId="3" fontId="18" numFmtId="0" xfId="0" applyAlignment="1" applyFont="1">
      <alignment horizontal="left" readingOrder="0" vertical="center"/>
    </xf>
    <xf borderId="0" fillId="3" fontId="21" numFmtId="0" xfId="0" applyAlignment="1" applyFont="1">
      <alignment horizontal="center" readingOrder="0" vertical="center"/>
    </xf>
    <xf borderId="0" fillId="3" fontId="12" numFmtId="0" xfId="0" applyAlignment="1" applyFont="1">
      <alignment horizontal="center" vertical="center"/>
    </xf>
    <xf borderId="0" fillId="0" fontId="22" numFmtId="0" xfId="0" applyAlignment="1" applyFont="1">
      <alignment horizontal="center" readingOrder="0"/>
    </xf>
    <xf borderId="0" fillId="0" fontId="19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readingOrder="0"/>
    </xf>
    <xf borderId="0" fillId="0" fontId="19" numFmtId="0" xfId="0" applyAlignment="1" applyFont="1">
      <alignment readingOrder="0" shrinkToFit="0" vertical="top" wrapText="0"/>
    </xf>
    <xf borderId="0" fillId="0" fontId="23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horizontal="right" readingOrder="0"/>
    </xf>
    <xf borderId="0" fillId="0" fontId="22" numFmtId="0" xfId="0" applyFont="1"/>
    <xf borderId="0" fillId="0" fontId="9" numFmtId="0" xfId="0" applyFont="1"/>
    <xf borderId="0" fillId="0" fontId="2" numFmtId="0" xfId="0" applyAlignment="1" applyFont="1">
      <alignment readingOrder="0" vertical="bottom"/>
    </xf>
    <xf borderId="0" fillId="0" fontId="24" numFmtId="0" xfId="0" applyAlignment="1" applyFont="1">
      <alignment readingOrder="0" vertical="top"/>
    </xf>
    <xf borderId="0" fillId="0" fontId="21" numFmtId="0" xfId="0" applyAlignment="1" applyFont="1">
      <alignment horizontal="left" readingOrder="0" vertical="center"/>
    </xf>
    <xf borderId="0" fillId="0" fontId="9" numFmtId="0" xfId="0" applyAlignment="1" applyFont="1">
      <alignment horizontal="left" vertical="center"/>
    </xf>
    <xf borderId="0" fillId="0" fontId="25" numFmtId="0" xfId="0" applyAlignment="1" applyFont="1">
      <alignment horizontal="left" readingOrder="0" vertical="center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1</xdr:row>
      <xdr:rowOff>114300</xdr:rowOff>
    </xdr:from>
    <xdr:ext cx="1866900" cy="723900"/>
    <xdr:grpSp>
      <xdr:nvGrpSpPr>
        <xdr:cNvPr id="2" name="Shape 2" title="Drawing"/>
        <xdr:cNvGrpSpPr/>
      </xdr:nvGrpSpPr>
      <xdr:grpSpPr>
        <a:xfrm>
          <a:off x="858950" y="807825"/>
          <a:ext cx="1717800" cy="644100"/>
          <a:chOff x="858950" y="807825"/>
          <a:chExt cx="1717800" cy="644100"/>
        </a:xfrm>
      </xdr:grpSpPr>
      <xdr:sp>
        <xdr:nvSpPr>
          <xdr:cNvPr id="3" name="Shape 3"/>
          <xdr:cNvSpPr/>
        </xdr:nvSpPr>
        <xdr:spPr>
          <a:xfrm>
            <a:off x="858950" y="807825"/>
            <a:ext cx="1717800" cy="644100"/>
          </a:xfrm>
          <a:prstGeom prst="rect">
            <a:avLst/>
          </a:prstGeom>
          <a:solidFill>
            <a:srgbClr val="FF0000"/>
          </a:solidFill>
          <a:ln cap="flat" cmpd="sng" w="9525">
            <a:solidFill>
              <a:srgbClr val="00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981650" y="976425"/>
            <a:ext cx="1472400" cy="3069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>
                <a:solidFill>
                  <a:srgbClr val="A4C2F4"/>
                </a:solidFill>
              </a:rPr>
              <a:t>PRINT PDF</a:t>
            </a:r>
            <a:endParaRPr sz="1900">
              <a:solidFill>
                <a:srgbClr val="A4C2F4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676275</xdr:colOff>
      <xdr:row>0</xdr:row>
      <xdr:rowOff>0</xdr:rowOff>
    </xdr:from>
    <xdr:ext cx="1447800" cy="48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1123950</xdr:colOff>
      <xdr:row>91</xdr:row>
      <xdr:rowOff>123825</xdr:rowOff>
    </xdr:from>
    <xdr:ext cx="1104900" cy="609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1038225</xdr:colOff>
      <xdr:row>90</xdr:row>
      <xdr:rowOff>133350</xdr:rowOff>
    </xdr:from>
    <xdr:ext cx="1104900" cy="9906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2266950</xdr:colOff>
      <xdr:row>91</xdr:row>
      <xdr:rowOff>123825</xdr:rowOff>
    </xdr:from>
    <xdr:ext cx="647700" cy="6096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90</xdr:row>
      <xdr:rowOff>133350</xdr:rowOff>
    </xdr:from>
    <xdr:ext cx="1038225" cy="9906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91</xdr:row>
      <xdr:rowOff>114300</xdr:rowOff>
    </xdr:from>
    <xdr:ext cx="1447800" cy="7048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1123950</xdr:colOff>
      <xdr:row>85</xdr:row>
      <xdr:rowOff>123825</xdr:rowOff>
    </xdr:from>
    <xdr:ext cx="1104900" cy="609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1123950</xdr:colOff>
      <xdr:row>85</xdr:row>
      <xdr:rowOff>123825</xdr:rowOff>
    </xdr:from>
    <xdr:ext cx="1104900" cy="609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0</xdr:rowOff>
    </xdr:from>
    <xdr:ext cx="1028700" cy="1619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2.75"/>
    <col customWidth="1" min="2" max="2" width="23.38"/>
    <col customWidth="1" min="3" max="3" width="15.5"/>
    <col customWidth="1" min="11" max="11" width="40.5"/>
    <col customWidth="1" min="12" max="12" width="5.38"/>
    <col customWidth="1" min="13" max="15" width="9.5"/>
    <col customWidth="1" min="16" max="16" width="20.75"/>
    <col customWidth="1" min="17" max="17" width="19.88"/>
    <col customWidth="1" min="18" max="18" width="21.38"/>
    <col customWidth="1" min="19" max="19" width="12.88"/>
    <col customWidth="1" min="20" max="20" width="12.5"/>
  </cols>
  <sheetData>
    <row r="1">
      <c r="A1" s="1"/>
      <c r="B1" s="2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22.5" customHeight="1">
      <c r="A2" s="5" t="s">
        <v>0</v>
      </c>
      <c r="B2" s="2" t="s">
        <v>1</v>
      </c>
      <c r="C2" s="3"/>
      <c r="D2" s="3"/>
      <c r="E2" s="4"/>
      <c r="F2" s="4"/>
      <c r="G2" s="3"/>
      <c r="H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5"/>
      <c r="B3" s="2"/>
      <c r="C3" s="3"/>
      <c r="D3" s="3"/>
      <c r="E3" s="4"/>
      <c r="F3" s="4"/>
      <c r="G3" s="6"/>
      <c r="H3" s="4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5"/>
      <c r="B4" s="2"/>
      <c r="C4" s="3"/>
      <c r="D4" s="3"/>
      <c r="E4" s="4"/>
      <c r="F4" s="4"/>
      <c r="G4" s="3"/>
      <c r="H4" s="4"/>
      <c r="I4" s="4"/>
      <c r="J4" s="4"/>
      <c r="K4" s="4"/>
      <c r="L4" s="4"/>
      <c r="M4" s="4"/>
      <c r="N4" s="4"/>
      <c r="O4" s="4"/>
      <c r="P4" s="8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24.0" customHeight="1">
      <c r="A5" s="5"/>
      <c r="B5" s="2"/>
      <c r="C5" s="9" t="s">
        <v>2</v>
      </c>
      <c r="D5" s="10">
        <f>SUM(G11:G200)</f>
        <v>54769</v>
      </c>
      <c r="E5" s="4"/>
      <c r="F5" s="4"/>
      <c r="G5" s="3"/>
      <c r="H5" s="4"/>
      <c r="I5" s="4"/>
      <c r="J5" s="4"/>
      <c r="K5" s="4"/>
      <c r="L5" s="4"/>
      <c r="M5" s="4"/>
      <c r="N5" s="4"/>
      <c r="O5" s="4"/>
      <c r="P5" s="8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A6" s="5"/>
      <c r="B6" s="2"/>
      <c r="C6" s="3"/>
      <c r="D6" s="3"/>
      <c r="E6" s="3"/>
      <c r="F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5"/>
      <c r="B7" s="2"/>
      <c r="C7" s="11" t="s">
        <v>3</v>
      </c>
      <c r="D7" s="12" t="b">
        <v>1</v>
      </c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13" t="s">
        <v>4</v>
      </c>
      <c r="B8" s="14" t="s">
        <v>5</v>
      </c>
      <c r="C8" s="3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13" t="s">
        <v>6</v>
      </c>
      <c r="B9" s="14"/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A10" s="13" t="s">
        <v>7</v>
      </c>
      <c r="B10" s="14">
        <v>38.0</v>
      </c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A11" s="15" t="s">
        <v>8</v>
      </c>
      <c r="B11" s="16" t="s">
        <v>9</v>
      </c>
      <c r="C11" s="17" t="s">
        <v>10</v>
      </c>
      <c r="D11" s="15" t="s">
        <v>11</v>
      </c>
      <c r="E11" s="15" t="s">
        <v>12</v>
      </c>
      <c r="F11" s="15" t="s">
        <v>13</v>
      </c>
      <c r="G11" s="15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A12" s="18" t="str">
        <f>IFERROR(__xludf.DUMMYFUNCTION("FILTER(INDIRECT(""'""&amp;$B$2&amp;""'!A2:A""),INDIRECT(""'""&amp;$B$2&amp;""'!A2:A"")&lt;&gt;"""")"),"6A Switch 1Way")</f>
        <v>6A Switch 1Way</v>
      </c>
      <c r="B12" s="19">
        <v>50.0</v>
      </c>
      <c r="C12" s="20"/>
      <c r="D12" s="18">
        <f t="array" ref="D12:D569">IFERROR(IF(A12:A569="","",VLOOKUP(A12:A569,INDIRECT("'"&amp;$B$2&amp;"'!A:B"),2,FALSE)),"")</f>
        <v>88</v>
      </c>
      <c r="E12" s="19"/>
      <c r="F12" s="18">
        <f t="shared" ref="F12:F131" si="1">IFERROR(IF(A12="", "", IF(AND(D12="", E12=""), "", ROUND(IF(E12&lt;&gt;"", E12, D12) * (1 - IF(C12&lt;&gt;"", C12, $B$10)/100), 2))), "")</f>
        <v>54.56</v>
      </c>
      <c r="G12" s="21">
        <f>IFERROR(__xludf.DUMMYFUNCTION("IFERROR(IF(OR(B12="""", F12=""""), """", ROUND(VALUE(REGEXEXTRACT(TO_TEXT(B12), ""[0-9]*\.?[0-9]+"")) * F12, 0)), """")"),2728.0)</f>
        <v>2728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8" t="str">
        <f>IFERROR(__xludf.DUMMYFUNCTION("""COMPUTED_VALUE"""),"6A Switch 2Way")</f>
        <v>6A Switch 2Way</v>
      </c>
      <c r="B13" s="19">
        <v>10.0</v>
      </c>
      <c r="C13" s="22"/>
      <c r="D13" s="18">
        <v>247.0</v>
      </c>
      <c r="E13" s="22"/>
      <c r="F13" s="18">
        <f t="shared" si="1"/>
        <v>153.14</v>
      </c>
      <c r="G13" s="23">
        <f>IFERROR(__xludf.DUMMYFUNCTION("IFERROR(IF(OR(B13="""", F13=""""), """", ROUND(VALUE(REGEXEXTRACT(TO_TEXT(B13), ""[0-9]*\.?[0-9]+"")) * F13, 0)), """")"),1531.0)</f>
        <v>1531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8" t="str">
        <f>IFERROR(__xludf.DUMMYFUNCTION("""COMPUTED_VALUE"""),"6A 1Way Bell Push")</f>
        <v>6A 1Way Bell Push</v>
      </c>
      <c r="B14" s="19"/>
      <c r="C14" s="22"/>
      <c r="D14" s="18">
        <v>287.0</v>
      </c>
      <c r="E14" s="22"/>
      <c r="F14" s="18">
        <f t="shared" si="1"/>
        <v>177.94</v>
      </c>
      <c r="G14" s="23" t="str">
        <f>IFERROR(__xludf.DUMMYFUNCTION("IFERROR(IF(OR(B14="""", F14=""""), """", ROUND(VALUE(REGEXEXTRACT(TO_TEXT(B14), ""[0-9]*\.?[0-9]+"")) * F14, 0)), """")"),"")</f>
        <v/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8" t="str">
        <f>IFERROR(__xludf.DUMMYFUNCTION("""COMPUTED_VALUE"""),"6A Mega Bell Push Ind.")</f>
        <v>6A Mega Bell Push Ind.</v>
      </c>
      <c r="B15" s="19"/>
      <c r="C15" s="19"/>
      <c r="D15" s="18">
        <v>374.0</v>
      </c>
      <c r="E15" s="19"/>
      <c r="F15" s="18">
        <f t="shared" si="1"/>
        <v>231.88</v>
      </c>
      <c r="G15" s="23" t="str">
        <f>IFERROR(__xludf.DUMMYFUNCTION("IFERROR(IF(OR(B15="""", F15=""""), """", ROUND(VALUE(REGEXEXTRACT(TO_TEXT(B15), ""[0-9]*\.?[0-9]+"")) * F15, 0)), """")"),"")</f>
        <v/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8" t="str">
        <f>IFERROR(__xludf.DUMMYFUNCTION("""COMPUTED_VALUE"""),"16A Switch 1Way")</f>
        <v>16A Switch 1Way</v>
      </c>
      <c r="B16" s="19"/>
      <c r="C16" s="22"/>
      <c r="D16" s="18">
        <v>251.0</v>
      </c>
      <c r="E16" s="22"/>
      <c r="F16" s="18">
        <f t="shared" si="1"/>
        <v>155.62</v>
      </c>
      <c r="G16" s="23" t="str">
        <f>IFERROR(__xludf.DUMMYFUNCTION("IFERROR(IF(OR(B16="""", F16=""""), """", ROUND(VALUE(REGEXEXTRACT(TO_TEXT(B16), ""[0-9]*\.?[0-9]+"")) * F16, 0)), """")"),"")</f>
        <v/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8" t="str">
        <f>IFERROR(__xludf.DUMMYFUNCTION("""COMPUTED_VALUE"""),"16A Switch 1Way Ind.")</f>
        <v>16A Switch 1Way Ind.</v>
      </c>
      <c r="B17" s="19">
        <v>17.0</v>
      </c>
      <c r="C17" s="22"/>
      <c r="D17" s="18">
        <v>321.0</v>
      </c>
      <c r="E17" s="22"/>
      <c r="F17" s="18">
        <f t="shared" si="1"/>
        <v>199.02</v>
      </c>
      <c r="G17" s="23">
        <f>IFERROR(__xludf.DUMMYFUNCTION("IFERROR(IF(OR(B17="""", F17=""""), """", ROUND(VALUE(REGEXEXTRACT(TO_TEXT(B17), ""[0-9]*\.?[0-9]+"")) * F17, 0)), """")"),3383.0)</f>
        <v>3383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8" t="str">
        <f>IFERROR(__xludf.DUMMYFUNCTION("""COMPUTED_VALUE"""),"16A Switch 2Way")</f>
        <v>16A Switch 2Way</v>
      </c>
      <c r="B18" s="19"/>
      <c r="C18" s="22"/>
      <c r="D18" s="18">
        <v>414.0</v>
      </c>
      <c r="E18" s="22"/>
      <c r="F18" s="18">
        <f t="shared" si="1"/>
        <v>256.68</v>
      </c>
      <c r="G18" s="23" t="str">
        <f>IFERROR(__xludf.DUMMYFUNCTION("IFERROR(IF(OR(B18="""", F18=""""), """", ROUND(VALUE(REGEXEXTRACT(TO_TEXT(B18), ""[0-9]*\.?[0-9]+"")) * F18, 0)), """")"),"")</f>
        <v/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8" t="str">
        <f>IFERROR(__xludf.DUMMYFUNCTION("""COMPUTED_VALUE"""),"20A DP Switch 1Way Ind.")</f>
        <v>20A DP Switch 1Way Ind.</v>
      </c>
      <c r="B19" s="19"/>
      <c r="C19" s="22"/>
      <c r="D19" s="18">
        <v>465.0</v>
      </c>
      <c r="E19" s="22"/>
      <c r="F19" s="18">
        <f t="shared" si="1"/>
        <v>288.3</v>
      </c>
      <c r="G19" s="23" t="str">
        <f>IFERROR(__xludf.DUMMYFUNCTION("IFERROR(IF(OR(B19="""", F19=""""), """", ROUND(VALUE(REGEXEXTRACT(TO_TEXT(B19), ""[0-9]*\.?[0-9]+"")) * F19, 0)), """")"),"")</f>
        <v/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8" t="str">
        <f>IFERROR(__xludf.DUMMYFUNCTION("""COMPUTED_VALUE"""),"32A DP Switch 1Way Ind.")</f>
        <v>32A DP Switch 1Way Ind.</v>
      </c>
      <c r="B20" s="19"/>
      <c r="C20" s="22"/>
      <c r="D20" s="18">
        <v>841.0</v>
      </c>
      <c r="E20" s="22"/>
      <c r="F20" s="18">
        <f t="shared" si="1"/>
        <v>521.42</v>
      </c>
      <c r="G20" s="23" t="str">
        <f>IFERROR(__xludf.DUMMYFUNCTION("IFERROR(IF(OR(B20="""", F20=""""), """", ROUND(VALUE(REGEXEXTRACT(TO_TEXT(B20), ""[0-9]*\.?[0-9]+"")) * F20, 0)), """")"),"")</f>
        <v/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8" t="str">
        <f>IFERROR(__xludf.DUMMYFUNCTION("""COMPUTED_VALUE"""),"6A 3 Pin Socket")</f>
        <v>6A 3 Pin Socket</v>
      </c>
      <c r="B21" s="19">
        <v>1.0</v>
      </c>
      <c r="C21" s="22"/>
      <c r="D21" s="18">
        <v>222.0</v>
      </c>
      <c r="E21" s="22"/>
      <c r="F21" s="18">
        <f t="shared" si="1"/>
        <v>137.64</v>
      </c>
      <c r="G21" s="23">
        <f>IFERROR(__xludf.DUMMYFUNCTION("IFERROR(IF(OR(B21="""", F21=""""), """", ROUND(VALUE(REGEXEXTRACT(TO_TEXT(B21), ""[0-9]*\.?[0-9]+"")) * F21, 0)), """")"),138.0)</f>
        <v>138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8" t="str">
        <f>IFERROR(__xludf.DUMMYFUNCTION("""COMPUTED_VALUE"""),"6A/16A Socket")</f>
        <v>6A/16A Socket</v>
      </c>
      <c r="B22" s="19"/>
      <c r="C22" s="22"/>
      <c r="D22" s="18">
        <v>378.0</v>
      </c>
      <c r="E22" s="22"/>
      <c r="F22" s="18">
        <f t="shared" si="1"/>
        <v>234.36</v>
      </c>
      <c r="G22" s="23" t="str">
        <f>IFERROR(__xludf.DUMMYFUNCTION("IFERROR(IF(OR(B22="""", F22=""""), """", ROUND(VALUE(REGEXEXTRACT(TO_TEXT(B22), ""[0-9]*\.?[0-9]+"")) * F22, 0)), """")"),"")</f>
        <v/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8" t="str">
        <f>IFERROR(__xludf.DUMMYFUNCTION("""COMPUTED_VALUE"""),"2M Footlight")</f>
        <v>2M Footlight</v>
      </c>
      <c r="B23" s="19"/>
      <c r="C23" s="22"/>
      <c r="D23" s="18">
        <v>1100.0</v>
      </c>
      <c r="E23" s="22"/>
      <c r="F23" s="18">
        <f t="shared" si="1"/>
        <v>682</v>
      </c>
      <c r="G23" s="23" t="str">
        <f>IFERROR(__xludf.DUMMYFUNCTION("IFERROR(IF(OR(B23="""", F23=""""), """", ROUND(VALUE(REGEXEXTRACT(TO_TEXT(B23), ""[0-9]*\.?[0-9]+"")) * F23, 0)), """")"),"")</f>
        <v/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8" t="str">
        <f>IFERROR(__xludf.DUMMYFUNCTION("""COMPUTED_VALUE"""),"1M Fan Regulator")</f>
        <v>1M Fan Regulator</v>
      </c>
      <c r="B24" s="24">
        <v>25.0</v>
      </c>
      <c r="C24" s="25"/>
      <c r="D24" s="18">
        <v>724.0</v>
      </c>
      <c r="E24" s="22"/>
      <c r="F24" s="18">
        <f t="shared" si="1"/>
        <v>448.88</v>
      </c>
      <c r="G24" s="23">
        <f>IFERROR(__xludf.DUMMYFUNCTION("IFERROR(IF(OR(B24="""", F24=""""), """", ROUND(VALUE(REGEXEXTRACT(TO_TEXT(B24), ""[0-9]*\.?[0-9]+"")) * F24, 0)), """")"),11222.0)</f>
        <v>11222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8" t="str">
        <f>IFERROR(__xludf.DUMMYFUNCTION("""COMPUTED_VALUE"""),"2M Fan Regulator")</f>
        <v>2M Fan Regulator</v>
      </c>
      <c r="B25" s="19">
        <v>14.0</v>
      </c>
      <c r="C25" s="22"/>
      <c r="D25" s="18">
        <v>772.0</v>
      </c>
      <c r="E25" s="22"/>
      <c r="F25" s="18">
        <f t="shared" si="1"/>
        <v>478.64</v>
      </c>
      <c r="G25" s="23">
        <f>IFERROR(__xludf.DUMMYFUNCTION("IFERROR(IF(OR(B25="""", F25=""""), """", ROUND(VALUE(REGEXEXTRACT(TO_TEXT(B25), ""[0-9]*\.?[0-9]+"")) * F25, 0)), """")"),6701.0)</f>
        <v>6701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8" t="str">
        <f>IFERROR(__xludf.DUMMYFUNCTION("""COMPUTED_VALUE"""),"Telephone Socket - 1M")</f>
        <v>Telephone Socket - 1M</v>
      </c>
      <c r="B26" s="19"/>
      <c r="C26" s="22"/>
      <c r="D26" s="18">
        <v>315.0</v>
      </c>
      <c r="E26" s="22"/>
      <c r="F26" s="18">
        <f t="shared" si="1"/>
        <v>195.3</v>
      </c>
      <c r="G26" s="23" t="str">
        <f>IFERROR(__xludf.DUMMYFUNCTION("IFERROR(IF(OR(B26="""", F26=""""), """", ROUND(VALUE(REGEXEXTRACT(TO_TEXT(B26), ""[0-9]*\.?[0-9]+"")) * F26, 0)), """")"),"")</f>
        <v/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8" t="str">
        <f>IFERROR(__xludf.DUMMYFUNCTION("""COMPUTED_VALUE"""),"Computer Jack")</f>
        <v>Computer Jack</v>
      </c>
      <c r="B27" s="19"/>
      <c r="C27" s="22"/>
      <c r="D27" s="18">
        <v>1001.0</v>
      </c>
      <c r="E27" s="22"/>
      <c r="F27" s="18">
        <f t="shared" si="1"/>
        <v>620.62</v>
      </c>
      <c r="G27" s="23" t="str">
        <f>IFERROR(__xludf.DUMMYFUNCTION("IFERROR(IF(OR(B27="""", F27=""""), """", ROUND(VALUE(REGEXEXTRACT(TO_TEXT(B27), ""[0-9]*\.?[0-9]+"")) * F27, 0)), """")"),"")</f>
        <v/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8" t="str">
        <f>IFERROR(__xludf.DUMMYFUNCTION("""COMPUTED_VALUE"""),"TV Socket")</f>
        <v>TV Socket</v>
      </c>
      <c r="B28" s="19">
        <v>5.0</v>
      </c>
      <c r="C28" s="22"/>
      <c r="D28" s="18">
        <v>288.0</v>
      </c>
      <c r="E28" s="22"/>
      <c r="F28" s="18">
        <f t="shared" si="1"/>
        <v>178.56</v>
      </c>
      <c r="G28" s="23">
        <f>IFERROR(__xludf.DUMMYFUNCTION("IFERROR(IF(OR(B28="""", F28=""""), """", ROUND(VALUE(REGEXEXTRACT(TO_TEXT(B28), ""[0-9]*\.?[0-9]+"")) * F28, 0)), """")"),893.0)</f>
        <v>893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8" t="str">
        <f>IFERROR(__xludf.DUMMYFUNCTION("""COMPUTED_VALUE"""),"Blank Plate")</f>
        <v>Blank Plate</v>
      </c>
      <c r="B29" s="19"/>
      <c r="C29" s="22"/>
      <c r="D29" s="18">
        <v>59.0</v>
      </c>
      <c r="E29" s="22"/>
      <c r="F29" s="18">
        <f t="shared" si="1"/>
        <v>36.58</v>
      </c>
      <c r="G29" s="23" t="str">
        <f>IFERROR(__xludf.DUMMYFUNCTION("IFERROR(IF(OR(B29="""", F29=""""), """", ROUND(VALUE(REGEXEXTRACT(TO_TEXT(B29), ""[0-9]*\.?[0-9]+"")) * F29, 0)), """")"),"")</f>
        <v/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8" t="str">
        <f>IFERROR(__xludf.DUMMYFUNCTION("""COMPUTED_VALUE"""),"Indicator Lamp")</f>
        <v>Indicator Lamp</v>
      </c>
      <c r="B30" s="19"/>
      <c r="C30" s="22"/>
      <c r="D30" s="18">
        <v>174.0</v>
      </c>
      <c r="E30" s="22"/>
      <c r="F30" s="18">
        <f t="shared" si="1"/>
        <v>107.88</v>
      </c>
      <c r="G30" s="23" t="str">
        <f>IFERROR(__xludf.DUMMYFUNCTION("IFERROR(IF(OR(B30="""", F30=""""), """", ROUND(VALUE(REGEXEXTRACT(TO_TEXT(B30), ""[0-9]*\.?[0-9]+"")) * F30, 0)), """")"),"")</f>
        <v/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8" t="str">
        <f>IFERROR(__xludf.DUMMYFUNCTION("""COMPUTED_VALUE"""),"2M Buzzer")</f>
        <v>2M Buzzer</v>
      </c>
      <c r="B31" s="19"/>
      <c r="C31" s="22"/>
      <c r="D31" s="18">
        <v>649.0</v>
      </c>
      <c r="E31" s="22"/>
      <c r="F31" s="18">
        <f t="shared" si="1"/>
        <v>402.38</v>
      </c>
      <c r="G31" s="23" t="str">
        <f>IFERROR(__xludf.DUMMYFUNCTION("IFERROR(IF(OR(B31="""", F31=""""), """", ROUND(VALUE(REGEXEXTRACT(TO_TEXT(B31), ""[0-9]*\.?[0-9]+"")) * F31, 0)), """")"),"")</f>
        <v/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8" t="str">
        <f>IFERROR(__xludf.DUMMYFUNCTION("""COMPUTED_VALUE"""),"1M USB Socket 2.1A")</f>
        <v>1M USB Socket 2.1A</v>
      </c>
      <c r="B32" s="19">
        <v>20.0</v>
      </c>
      <c r="C32" s="22"/>
      <c r="D32" s="18">
        <v>1486.0</v>
      </c>
      <c r="E32" s="22"/>
      <c r="F32" s="18">
        <f t="shared" si="1"/>
        <v>921.32</v>
      </c>
      <c r="G32" s="23">
        <f>IFERROR(__xludf.DUMMYFUNCTION("IFERROR(IF(OR(B32="""", F32=""""), """", ROUND(VALUE(REGEXEXTRACT(TO_TEXT(B32), ""[0-9]*\.?[0-9]+"")) * F32, 0)), """")"),18426.0)</f>
        <v>18426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8" t="str">
        <f>IFERROR(__xludf.DUMMYFUNCTION("""COMPUTED_VALUE"""),"TYPE C 2.1A USB CHARGER")</f>
        <v>TYPE C 2.1A USB CHARGER</v>
      </c>
      <c r="B33" s="19">
        <v>4.0</v>
      </c>
      <c r="C33" s="22"/>
      <c r="D33" s="18">
        <v>1674.0</v>
      </c>
      <c r="E33" s="22"/>
      <c r="F33" s="18">
        <f t="shared" si="1"/>
        <v>1037.88</v>
      </c>
      <c r="G33" s="23">
        <f>IFERROR(__xludf.DUMMYFUNCTION("IFERROR(IF(OR(B33="""", F33=""""), """", ROUND(VALUE(REGEXEXTRACT(TO_TEXT(B33), ""[0-9]*\.?[0-9]+"")) * F33, 0)), """")"),4152.0)</f>
        <v>4152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8" t="str">
        <f>IFERROR(__xludf.DUMMYFUNCTION("""COMPUTED_VALUE"""),"25A SP 'C' MINI MCB")</f>
        <v>25A SP 'C' MINI MCB</v>
      </c>
      <c r="B34" s="19"/>
      <c r="C34" s="19"/>
      <c r="D34" s="18">
        <v>465.0</v>
      </c>
      <c r="E34" s="22"/>
      <c r="F34" s="18">
        <f t="shared" si="1"/>
        <v>288.3</v>
      </c>
      <c r="G34" s="23" t="str">
        <f>IFERROR(__xludf.DUMMYFUNCTION("IFERROR(IF(OR(B34="""", F34=""""), """", ROUND(VALUE(REGEXEXTRACT(TO_TEXT(B34), ""[0-9]*\.?[0-9]+"")) * F34, 0)), """")"),"")</f>
        <v/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26" t="str">
        <f>IFERROR(__xludf.DUMMYFUNCTION("""COMPUTED_VALUE"""),"32A SP 'C' MINI MCB")</f>
        <v>32A SP 'C' MINI MCB</v>
      </c>
      <c r="B35" s="19"/>
      <c r="C35" s="19"/>
      <c r="D35" s="18">
        <v>470.0</v>
      </c>
      <c r="E35" s="19"/>
      <c r="F35" s="18">
        <f t="shared" si="1"/>
        <v>291.4</v>
      </c>
      <c r="G35" s="23" t="str">
        <f>IFERROR(__xludf.DUMMYFUNCTION("IFERROR(IF(OR(B35="""", F35=""""), """", ROUND(VALUE(REGEXEXTRACT(TO_TEXT(B35), ""[0-9]*\.?[0-9]+"")) * F35, 0)), """")"),"")</f>
        <v/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8" t="str">
        <f>IFERROR(__xludf.DUMMYFUNCTION("""COMPUTED_VALUE"""),"25A Motor Starter")</f>
        <v>25A Motor Starter</v>
      </c>
      <c r="B36" s="19"/>
      <c r="C36" s="22"/>
      <c r="D36" s="18">
        <v>671.0</v>
      </c>
      <c r="E36" s="22"/>
      <c r="F36" s="18">
        <f t="shared" si="1"/>
        <v>416.02</v>
      </c>
      <c r="G36" s="23" t="str">
        <f>IFERROR(__xludf.DUMMYFUNCTION("IFERROR(IF(OR(B36="""", F36=""""), """", ROUND(VALUE(REGEXEXTRACT(TO_TEXT(B36), ""[0-9]*\.?[0-9]+"")) * F36, 0)), """")"),"")</f>
        <v/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8" t="str">
        <f>IFERROR(__xludf.DUMMYFUNCTION("""COMPUTED_VALUE"""),"1M")</f>
        <v>1M</v>
      </c>
      <c r="B37" s="19"/>
      <c r="C37" s="22"/>
      <c r="D37" s="18">
        <v>178.0</v>
      </c>
      <c r="E37" s="22"/>
      <c r="F37" s="18">
        <f t="shared" si="1"/>
        <v>110.36</v>
      </c>
      <c r="G37" s="23" t="str">
        <f>IFERROR(__xludf.DUMMYFUNCTION("IFERROR(IF(OR(B37="""", F37=""""), """", ROUND(VALUE(REGEXEXTRACT(TO_TEXT(B37), ""[0-9]*\.?[0-9]+"")) * F37, 0)), """")"),"")</f>
        <v/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8" t="str">
        <f>IFERROR(__xludf.DUMMYFUNCTION("""COMPUTED_VALUE"""),"2M")</f>
        <v>2M</v>
      </c>
      <c r="B38" s="19">
        <v>3.0</v>
      </c>
      <c r="C38" s="22"/>
      <c r="D38" s="18">
        <v>178.0</v>
      </c>
      <c r="E38" s="22"/>
      <c r="F38" s="18">
        <f t="shared" si="1"/>
        <v>110.36</v>
      </c>
      <c r="G38" s="23">
        <f>IFERROR(__xludf.DUMMYFUNCTION("IFERROR(IF(OR(B38="""", F38=""""), """", ROUND(VALUE(REGEXEXTRACT(TO_TEXT(B38), ""[0-9]*\.?[0-9]+"")) * F38, 0)), """")"),331.0)</f>
        <v>331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8" t="str">
        <f>IFERROR(__xludf.DUMMYFUNCTION("""COMPUTED_VALUE"""),"3M")</f>
        <v>3M</v>
      </c>
      <c r="B39" s="19"/>
      <c r="C39" s="22"/>
      <c r="D39" s="18">
        <v>206.0</v>
      </c>
      <c r="E39" s="22"/>
      <c r="F39" s="18">
        <f t="shared" si="1"/>
        <v>127.72</v>
      </c>
      <c r="G39" s="23" t="str">
        <f>IFERROR(__xludf.DUMMYFUNCTION("IFERROR(IF(OR(B39="""", F39=""""), """", ROUND(VALUE(REGEXEXTRACT(TO_TEXT(B39), ""[0-9]*\.?[0-9]+"")) * F39, 0)), """")"),"")</f>
        <v/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8" t="str">
        <f>IFERROR(__xludf.DUMMYFUNCTION("""COMPUTED_VALUE"""),"4M")</f>
        <v>4M</v>
      </c>
      <c r="B40" s="19">
        <v>4.0</v>
      </c>
      <c r="C40" s="22"/>
      <c r="D40" s="18">
        <v>254.0</v>
      </c>
      <c r="E40" s="22"/>
      <c r="F40" s="18">
        <f t="shared" si="1"/>
        <v>157.48</v>
      </c>
      <c r="G40" s="23">
        <f>IFERROR(__xludf.DUMMYFUNCTION("IFERROR(IF(OR(B40="""", F40=""""), """", ROUND(VALUE(REGEXEXTRACT(TO_TEXT(B40), ""[0-9]*\.?[0-9]+"")) * F40, 0)), """")"),630.0)</f>
        <v>630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8" t="str">
        <f>IFERROR(__xludf.DUMMYFUNCTION("""COMPUTED_VALUE"""),"6M")</f>
        <v>6M</v>
      </c>
      <c r="B41" s="19">
        <v>4.0</v>
      </c>
      <c r="C41" s="22"/>
      <c r="D41" s="18">
        <v>353.0</v>
      </c>
      <c r="E41" s="22"/>
      <c r="F41" s="18">
        <f t="shared" si="1"/>
        <v>218.86</v>
      </c>
      <c r="G41" s="23">
        <f>IFERROR(__xludf.DUMMYFUNCTION("IFERROR(IF(OR(B41="""", F41=""""), """", ROUND(VALUE(REGEXEXTRACT(TO_TEXT(B41), ""[0-9]*\.?[0-9]+"")) * F41, 0)), """")"),875.0)</f>
        <v>875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8" t="str">
        <f>IFERROR(__xludf.DUMMYFUNCTION("""COMPUTED_VALUE"""),"8M(H)")</f>
        <v>8M(H)</v>
      </c>
      <c r="B42" s="19"/>
      <c r="C42" s="22"/>
      <c r="D42" s="18">
        <v>467.0</v>
      </c>
      <c r="E42" s="22"/>
      <c r="F42" s="18">
        <f t="shared" si="1"/>
        <v>289.54</v>
      </c>
      <c r="G42" s="23" t="str">
        <f>IFERROR(__xludf.DUMMYFUNCTION("IFERROR(IF(OR(B42="""", F42=""""), """", ROUND(VALUE(REGEXEXTRACT(TO_TEXT(B42), ""[0-9]*\.?[0-9]+"")) * F42, 0)), """")"),"")</f>
        <v/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8" t="str">
        <f>IFERROR(__xludf.DUMMYFUNCTION("""COMPUTED_VALUE"""),"8M(S)")</f>
        <v>8M(S)</v>
      </c>
      <c r="B43" s="19">
        <v>3.0</v>
      </c>
      <c r="C43" s="22"/>
      <c r="D43" s="18">
        <v>467.0</v>
      </c>
      <c r="E43" s="22"/>
      <c r="F43" s="18">
        <f t="shared" si="1"/>
        <v>289.54</v>
      </c>
      <c r="G43" s="23">
        <f>IFERROR(__xludf.DUMMYFUNCTION("IFERROR(IF(OR(B43="""", F43=""""), """", ROUND(VALUE(REGEXEXTRACT(TO_TEXT(B43), ""[0-9]*\.?[0-9]+"")) * F43, 0)), """")"),869.0)</f>
        <v>869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8" t="str">
        <f>IFERROR(__xludf.DUMMYFUNCTION("""COMPUTED_VALUE"""),"9M")</f>
        <v>9M</v>
      </c>
      <c r="B44" s="19">
        <v>1.0</v>
      </c>
      <c r="C44" s="22"/>
      <c r="D44" s="18">
        <v>633.0</v>
      </c>
      <c r="E44" s="22"/>
      <c r="F44" s="18">
        <f t="shared" si="1"/>
        <v>392.46</v>
      </c>
      <c r="G44" s="23">
        <f>IFERROR(__xludf.DUMMYFUNCTION("IFERROR(IF(OR(B44="""", F44=""""), """", ROUND(VALUE(REGEXEXTRACT(TO_TEXT(B44), ""[0-9]*\.?[0-9]+"")) * F44, 0)), """")"),392.0)</f>
        <v>392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8" t="str">
        <f>IFERROR(__xludf.DUMMYFUNCTION("""COMPUTED_VALUE"""),"12M")</f>
        <v>12M</v>
      </c>
      <c r="B45" s="19"/>
      <c r="C45" s="22"/>
      <c r="D45" s="18">
        <v>655.0</v>
      </c>
      <c r="E45" s="22"/>
      <c r="F45" s="18">
        <f t="shared" si="1"/>
        <v>406.1</v>
      </c>
      <c r="G45" s="23" t="str">
        <f>IFERROR(__xludf.DUMMYFUNCTION("IFERROR(IF(OR(B45="""", F45=""""), """", ROUND(VALUE(REGEXEXTRACT(TO_TEXT(B45), ""[0-9]*\.?[0-9]+"")) * F45, 0)), """")"),"")</f>
        <v/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8" t="str">
        <f>IFERROR(__xludf.DUMMYFUNCTION("""COMPUTED_VALUE"""),"16M")</f>
        <v>16M</v>
      </c>
      <c r="B46" s="19">
        <v>4.0</v>
      </c>
      <c r="C46" s="22"/>
      <c r="D46" s="18">
        <v>798.0</v>
      </c>
      <c r="E46" s="22"/>
      <c r="F46" s="18">
        <f t="shared" si="1"/>
        <v>494.76</v>
      </c>
      <c r="G46" s="23">
        <f>IFERROR(__xludf.DUMMYFUNCTION("IFERROR(IF(OR(B46="""", F46=""""), """", ROUND(VALUE(REGEXEXTRACT(TO_TEXT(B46), ""[0-9]*\.?[0-9]+"")) * F46, 0)), """")"),1979.0)</f>
        <v>1979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8" t="str">
        <f>IFERROR(__xludf.DUMMYFUNCTION("""COMPUTED_VALUE"""),"18M")</f>
        <v>18M</v>
      </c>
      <c r="B47" s="19">
        <v>1.0</v>
      </c>
      <c r="C47" s="22"/>
      <c r="D47" s="18">
        <v>837.0</v>
      </c>
      <c r="E47" s="22"/>
      <c r="F47" s="18">
        <f t="shared" si="1"/>
        <v>518.94</v>
      </c>
      <c r="G47" s="23">
        <f>IFERROR(__xludf.DUMMYFUNCTION("IFERROR(IF(OR(B47="""", F47=""""), """", ROUND(VALUE(REGEXEXTRACT(TO_TEXT(B47), ""[0-9]*\.?[0-9]+"")) * F47, 0)), """")"),519.0)</f>
        <v>519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8"/>
      <c r="B48" s="19">
        <v>3.0</v>
      </c>
      <c r="C48" s="22"/>
      <c r="D48" s="18" t="s">
        <v>15</v>
      </c>
      <c r="E48" s="22"/>
      <c r="F48" s="18" t="str">
        <f t="shared" si="1"/>
        <v/>
      </c>
      <c r="G48" s="23" t="str">
        <f>IFERROR(__xludf.DUMMYFUNCTION("IFERROR(IF(OR(B48="""", F48=""""), """", ROUND(VALUE(REGEXEXTRACT(TO_TEXT(B48), ""[0-9]*\.?[0-9]+"")) * F48, 0)), """")"),"")</f>
        <v/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8"/>
      <c r="B49" s="19">
        <v>10.0</v>
      </c>
      <c r="C49" s="22"/>
      <c r="D49" s="18" t="s">
        <v>15</v>
      </c>
      <c r="E49" s="22"/>
      <c r="F49" s="18" t="str">
        <f t="shared" si="1"/>
        <v/>
      </c>
      <c r="G49" s="23" t="str">
        <f>IFERROR(__xludf.DUMMYFUNCTION("IFERROR(IF(OR(B49="""", F49=""""), """", ROUND(VALUE(REGEXEXTRACT(TO_TEXT(B49), ""[0-9]*\.?[0-9]+"")) * F49, 0)), """")"),"")</f>
        <v/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8"/>
      <c r="B50" s="19">
        <v>10.0</v>
      </c>
      <c r="C50" s="22"/>
      <c r="D50" s="18" t="s">
        <v>15</v>
      </c>
      <c r="E50" s="22"/>
      <c r="F50" s="18" t="str">
        <f t="shared" si="1"/>
        <v/>
      </c>
      <c r="G50" s="23" t="str">
        <f>IFERROR(__xludf.DUMMYFUNCTION("IFERROR(IF(OR(B50="""", F50=""""), """", ROUND(VALUE(REGEXEXTRACT(TO_TEXT(B50), ""[0-9]*\.?[0-9]+"")) * F50, 0)), """")"),"")</f>
        <v/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8"/>
      <c r="B51" s="19"/>
      <c r="C51" s="22"/>
      <c r="D51" s="18" t="s">
        <v>15</v>
      </c>
      <c r="E51" s="22"/>
      <c r="F51" s="18" t="str">
        <f t="shared" si="1"/>
        <v/>
      </c>
      <c r="G51" s="23" t="str">
        <f>IFERROR(__xludf.DUMMYFUNCTION("IFERROR(IF(OR(B51="""", F51=""""), """", ROUND(VALUE(REGEXEXTRACT(TO_TEXT(B51), ""[0-9]*\.?[0-9]+"")) * F51, 0)), """")"),"")</f>
        <v/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8"/>
      <c r="B52" s="19"/>
      <c r="C52" s="22"/>
      <c r="D52" s="18" t="s">
        <v>15</v>
      </c>
      <c r="E52" s="22"/>
      <c r="F52" s="18" t="str">
        <f t="shared" si="1"/>
        <v/>
      </c>
      <c r="G52" s="23" t="str">
        <f>IFERROR(__xludf.DUMMYFUNCTION("IFERROR(IF(OR(B52="""", F52=""""), """", ROUND(VALUE(REGEXEXTRACT(TO_TEXT(B52), ""[0-9]*\.?[0-9]+"")) * F52, 0)), """")"),"")</f>
        <v/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8"/>
      <c r="B53" s="19">
        <v>2.0</v>
      </c>
      <c r="C53" s="22"/>
      <c r="D53" s="18" t="s">
        <v>15</v>
      </c>
      <c r="E53" s="22"/>
      <c r="F53" s="18" t="str">
        <f t="shared" si="1"/>
        <v/>
      </c>
      <c r="G53" s="23" t="str">
        <f>IFERROR(__xludf.DUMMYFUNCTION("IFERROR(IF(OR(B53="""", F53=""""), """", ROUND(VALUE(REGEXEXTRACT(TO_TEXT(B53), ""[0-9]*\.?[0-9]+"")) * F53, 0)), """")"),"")</f>
        <v/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8"/>
      <c r="B54" s="22"/>
      <c r="C54" s="22"/>
      <c r="D54" s="18" t="s">
        <v>15</v>
      </c>
      <c r="E54" s="22"/>
      <c r="F54" s="18" t="str">
        <f t="shared" si="1"/>
        <v/>
      </c>
      <c r="G54" s="23" t="str">
        <f>IFERROR(__xludf.DUMMYFUNCTION("IFERROR(IF(OR(B54="""", F54=""""), """", ROUND(VALUE(REGEXEXTRACT(TO_TEXT(B54), ""[0-9]*\.?[0-9]+"")) * F54, 0)), """")"),"")</f>
        <v/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12">
        <v>2.0</v>
      </c>
      <c r="C55" s="25"/>
      <c r="D55" s="18" t="s">
        <v>15</v>
      </c>
      <c r="E55" s="22"/>
      <c r="F55" s="18" t="str">
        <f t="shared" si="1"/>
        <v/>
      </c>
      <c r="G55" s="23" t="str">
        <f>IFERROR(__xludf.DUMMYFUNCTION("IFERROR(IF(OR(B55="""", F55=""""), """", ROUND(VALUE(REGEXEXTRACT(TO_TEXT(B55), ""[0-9]*\.?[0-9]+"")) * F55, 0)), """")"),"")</f>
        <v/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25"/>
      <c r="C56" s="25"/>
      <c r="D56" s="18" t="s">
        <v>15</v>
      </c>
      <c r="E56" s="22"/>
      <c r="F56" s="18" t="str">
        <f t="shared" si="1"/>
        <v/>
      </c>
      <c r="G56" s="23" t="str">
        <f>IFERROR(__xludf.DUMMYFUNCTION("IFERROR(IF(OR(B56="""", F56=""""), """", ROUND(VALUE(REGEXEXTRACT(TO_TEXT(B56), ""[0-9]*\.?[0-9]+"")) * F56, 0)), """")"),"")</f>
        <v/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25"/>
      <c r="C57" s="25"/>
      <c r="D57" s="18" t="s">
        <v>15</v>
      </c>
      <c r="E57" s="22"/>
      <c r="F57" s="18" t="str">
        <f t="shared" si="1"/>
        <v/>
      </c>
      <c r="G57" s="23" t="str">
        <f>IFERROR(__xludf.DUMMYFUNCTION("IFERROR(IF(OR(B57="""", F57=""""), """", ROUND(VALUE(REGEXEXTRACT(TO_TEXT(B57), ""[0-9]*\.?[0-9]+"")) * F57, 0)), """")"),"")</f>
        <v/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4"/>
      <c r="B58" s="25"/>
      <c r="C58" s="25"/>
      <c r="D58" s="18" t="s">
        <v>15</v>
      </c>
      <c r="E58" s="22"/>
      <c r="F58" s="18" t="str">
        <f t="shared" si="1"/>
        <v/>
      </c>
      <c r="G58" s="23" t="str">
        <f>IFERROR(__xludf.DUMMYFUNCTION("IFERROR(IF(OR(B58="""", F58=""""), """", ROUND(VALUE(REGEXEXTRACT(TO_TEXT(B58), ""[0-9]*\.?[0-9]+"")) * F58, 0)), """")"),"")</f>
        <v/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25"/>
      <c r="C59" s="25"/>
      <c r="D59" s="18" t="s">
        <v>15</v>
      </c>
      <c r="E59" s="22"/>
      <c r="F59" s="18" t="str">
        <f t="shared" si="1"/>
        <v/>
      </c>
      <c r="G59" s="23" t="str">
        <f>IFERROR(__xludf.DUMMYFUNCTION("IFERROR(IF(OR(B59="""", F59=""""), """", ROUND(VALUE(REGEXEXTRACT(TO_TEXT(B59), ""[0-9]*\.?[0-9]+"")) * F59, 0)), """")"),"")</f>
        <v/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25"/>
      <c r="C60" s="25"/>
      <c r="D60" s="18" t="s">
        <v>15</v>
      </c>
      <c r="E60" s="22"/>
      <c r="F60" s="18" t="str">
        <f t="shared" si="1"/>
        <v/>
      </c>
      <c r="G60" s="23" t="str">
        <f>IFERROR(__xludf.DUMMYFUNCTION("IFERROR(IF(OR(B60="""", F60=""""), """", ROUND(VALUE(REGEXEXTRACT(TO_TEXT(B60), ""[0-9]*\.?[0-9]+"")) * F60, 0)), """")"),"")</f>
        <v/>
      </c>
      <c r="H60" s="4"/>
      <c r="I60" s="4"/>
      <c r="J60" s="4"/>
      <c r="K60" s="27"/>
      <c r="L60" s="28"/>
      <c r="M60" s="28"/>
      <c r="N60" s="28"/>
      <c r="O60" s="2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25"/>
      <c r="C61" s="25"/>
      <c r="D61" s="18" t="s">
        <v>15</v>
      </c>
      <c r="E61" s="22"/>
      <c r="F61" s="18" t="str">
        <f t="shared" si="1"/>
        <v/>
      </c>
      <c r="G61" s="23" t="str">
        <f>IFERROR(__xludf.DUMMYFUNCTION("IFERROR(IF(OR(B61="""", F61=""""), """", ROUND(VALUE(REGEXEXTRACT(TO_TEXT(B61), ""[0-9]*\.?[0-9]+"")) * F61, 0)), """")"),"")</f>
        <v/>
      </c>
      <c r="H61" s="4"/>
      <c r="I61" s="4"/>
      <c r="J61" s="4"/>
      <c r="K61" s="27"/>
      <c r="L61" s="28"/>
      <c r="M61" s="28"/>
      <c r="N61" s="28"/>
      <c r="O61" s="2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25"/>
      <c r="C62" s="25"/>
      <c r="D62" s="18" t="s">
        <v>15</v>
      </c>
      <c r="E62" s="22"/>
      <c r="F62" s="18" t="str">
        <f t="shared" si="1"/>
        <v/>
      </c>
      <c r="G62" s="23" t="str">
        <f>IFERROR(__xludf.DUMMYFUNCTION("IFERROR(IF(OR(B62="""", F62=""""), """", ROUND(VALUE(REGEXEXTRACT(TO_TEXT(B62), ""[0-9]*\.?[0-9]+"")) * F62, 0)), """")"),"")</f>
        <v/>
      </c>
      <c r="H62" s="4"/>
      <c r="I62" s="4"/>
      <c r="J62" s="4"/>
      <c r="K62" s="27"/>
      <c r="L62" s="28"/>
      <c r="M62" s="28"/>
      <c r="N62" s="28"/>
      <c r="O62" s="2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25"/>
      <c r="C63" s="25"/>
      <c r="D63" s="18" t="s">
        <v>15</v>
      </c>
      <c r="E63" s="22"/>
      <c r="F63" s="18" t="str">
        <f t="shared" si="1"/>
        <v/>
      </c>
      <c r="G63" s="23" t="str">
        <f>IFERROR(__xludf.DUMMYFUNCTION("IFERROR(IF(OR(B63="""", F63=""""), """", ROUND(VALUE(REGEXEXTRACT(TO_TEXT(B63), ""[0-9]*\.?[0-9]+"")) * F63, 0)), """")"),"")</f>
        <v/>
      </c>
      <c r="H63" s="4"/>
      <c r="I63" s="4"/>
      <c r="J63" s="4"/>
      <c r="K63" s="27"/>
      <c r="L63" s="28"/>
      <c r="M63" s="28"/>
      <c r="N63" s="28"/>
      <c r="O63" s="2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25"/>
      <c r="C64" s="25"/>
      <c r="D64" s="18" t="s">
        <v>15</v>
      </c>
      <c r="E64" s="22"/>
      <c r="F64" s="18" t="str">
        <f t="shared" si="1"/>
        <v/>
      </c>
      <c r="G64" s="23" t="str">
        <f>IFERROR(__xludf.DUMMYFUNCTION("IFERROR(IF(OR(B64="""", F64=""""), """", ROUND(VALUE(REGEXEXTRACT(TO_TEXT(B64), ""[0-9]*\.?[0-9]+"")) * F64, 0)), """")"),"")</f>
        <v/>
      </c>
      <c r="H64" s="4"/>
      <c r="I64" s="4"/>
      <c r="J64" s="4"/>
      <c r="K64" s="27"/>
      <c r="L64" s="28"/>
      <c r="M64" s="28"/>
      <c r="N64" s="28"/>
      <c r="O64" s="2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25"/>
      <c r="C65" s="25"/>
      <c r="D65" s="18" t="s">
        <v>15</v>
      </c>
      <c r="E65" s="22"/>
      <c r="F65" s="18" t="str">
        <f t="shared" si="1"/>
        <v/>
      </c>
      <c r="G65" s="23" t="str">
        <f>IFERROR(__xludf.DUMMYFUNCTION("IFERROR(IF(OR(B65="""", F65=""""), """", ROUND(VALUE(REGEXEXTRACT(TO_TEXT(B65), ""[0-9]*\.?[0-9]+"")) * F65, 0)), """")"),"")</f>
        <v/>
      </c>
      <c r="H65" s="4"/>
      <c r="I65" s="4"/>
      <c r="J65" s="4"/>
      <c r="K65" s="27"/>
      <c r="L65" s="28"/>
      <c r="M65" s="28"/>
      <c r="N65" s="28"/>
      <c r="O65" s="2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8"/>
      <c r="B66" s="22"/>
      <c r="C66" s="22"/>
      <c r="D66" s="18" t="s">
        <v>15</v>
      </c>
      <c r="E66" s="22"/>
      <c r="F66" s="18" t="str">
        <f t="shared" si="1"/>
        <v/>
      </c>
      <c r="G66" s="23" t="str">
        <f>IFERROR(__xludf.DUMMYFUNCTION("IFERROR(IF(OR(B66="""", F66=""""), """", ROUND(VALUE(REGEXEXTRACT(TO_TEXT(B66), ""[0-9]*\.?[0-9]+"")) * F66, 0)), """")"),"")</f>
        <v/>
      </c>
      <c r="H66" s="4"/>
      <c r="I66" s="4"/>
      <c r="J66" s="4"/>
      <c r="K66" s="27"/>
      <c r="L66" s="28"/>
      <c r="M66" s="28"/>
      <c r="N66" s="28"/>
      <c r="O66" s="2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8"/>
      <c r="B67" s="22"/>
      <c r="C67" s="22"/>
      <c r="D67" s="18" t="s">
        <v>15</v>
      </c>
      <c r="E67" s="22"/>
      <c r="F67" s="18" t="str">
        <f t="shared" si="1"/>
        <v/>
      </c>
      <c r="G67" s="23" t="str">
        <f>IFERROR(__xludf.DUMMYFUNCTION("IFERROR(IF(OR(B67="""", F67=""""), """", ROUND(VALUE(REGEXEXTRACT(TO_TEXT(B67), ""[0-9]*\.?[0-9]+"")) * F67, 0)), """")"),"")</f>
        <v/>
      </c>
      <c r="H67" s="4"/>
      <c r="I67" s="4"/>
      <c r="J67" s="4"/>
      <c r="K67" s="29"/>
      <c r="L67" s="30"/>
      <c r="M67" s="30"/>
      <c r="N67" s="30"/>
      <c r="O67" s="3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8"/>
      <c r="B68" s="22"/>
      <c r="C68" s="22"/>
      <c r="D68" s="18" t="s">
        <v>15</v>
      </c>
      <c r="E68" s="22"/>
      <c r="F68" s="18" t="str">
        <f t="shared" si="1"/>
        <v/>
      </c>
      <c r="G68" s="23" t="str">
        <f>IFERROR(__xludf.DUMMYFUNCTION("IFERROR(IF(OR(B68="""", F68=""""), """", ROUND(VALUE(REGEXEXTRACT(TO_TEXT(B68), ""[0-9]*\.?[0-9]+"")) * F68, 0)), """")"),"")</f>
        <v/>
      </c>
      <c r="H68" s="4"/>
      <c r="I68" s="4"/>
      <c r="J68" s="4"/>
      <c r="K68" s="31"/>
      <c r="L68" s="32"/>
      <c r="M68" s="32"/>
      <c r="N68" s="33"/>
      <c r="O68" s="3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21"/>
      <c r="B69" s="19"/>
      <c r="C69" s="22"/>
      <c r="D69" s="21" t="s">
        <v>15</v>
      </c>
      <c r="E69" s="19"/>
      <c r="F69" s="18" t="str">
        <f t="shared" si="1"/>
        <v/>
      </c>
      <c r="G69" s="23" t="str">
        <f>IFERROR(__xludf.DUMMYFUNCTION("IFERROR(IF(OR(B69="""", F69=""""), """", ROUND(VALUE(REGEXEXTRACT(TO_TEXT(B69), ""[0-9]*\.?[0-9]+"")) * F69, 0)), """")"),"")</f>
        <v/>
      </c>
      <c r="H69" s="4"/>
      <c r="I69" s="4"/>
      <c r="J69" s="4"/>
      <c r="K69" s="31"/>
      <c r="L69" s="32"/>
      <c r="M69" s="32"/>
      <c r="N69" s="33"/>
      <c r="O69" s="3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8"/>
      <c r="B70" s="22"/>
      <c r="C70" s="22"/>
      <c r="D70" s="18" t="s">
        <v>15</v>
      </c>
      <c r="E70" s="22"/>
      <c r="F70" s="18" t="str">
        <f t="shared" si="1"/>
        <v/>
      </c>
      <c r="G70" s="23" t="str">
        <f>IFERROR(__xludf.DUMMYFUNCTION("IFERROR(IF(OR(B70="""", F70=""""), """", ROUND(VALUE(REGEXEXTRACT(TO_TEXT(B70), ""[0-9]*\.?[0-9]+"")) * F70, 0)), """")"),"")</f>
        <v/>
      </c>
      <c r="H70" s="4"/>
      <c r="I70" s="4"/>
      <c r="J70" s="4"/>
      <c r="K70" s="31"/>
      <c r="L70" s="32"/>
      <c r="M70" s="32"/>
      <c r="N70" s="33"/>
      <c r="O70" s="3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8"/>
      <c r="B71" s="22"/>
      <c r="C71" s="22"/>
      <c r="D71" s="18" t="s">
        <v>15</v>
      </c>
      <c r="E71" s="22"/>
      <c r="F71" s="18" t="str">
        <f t="shared" si="1"/>
        <v/>
      </c>
      <c r="G71" s="23" t="str">
        <f>IFERROR(__xludf.DUMMYFUNCTION("IFERROR(IF(OR(B71="""", F71=""""), """", ROUND(VALUE(REGEXEXTRACT(TO_TEXT(B71), ""[0-9]*\.?[0-9]+"")) * F71, 0)), """")"),"")</f>
        <v/>
      </c>
      <c r="H71" s="4"/>
      <c r="I71" s="4"/>
      <c r="J71" s="4"/>
      <c r="K71" s="31"/>
      <c r="L71" s="32"/>
      <c r="M71" s="32"/>
      <c r="N71" s="33"/>
      <c r="O71" s="3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8"/>
      <c r="B72" s="22"/>
      <c r="C72" s="22"/>
      <c r="D72" s="18" t="s">
        <v>15</v>
      </c>
      <c r="E72" s="22"/>
      <c r="F72" s="18" t="str">
        <f t="shared" si="1"/>
        <v/>
      </c>
      <c r="G72" s="23" t="str">
        <f>IFERROR(__xludf.DUMMYFUNCTION("IFERROR(IF(OR(B72="""", F72=""""), """", ROUND(VALUE(REGEXEXTRACT(TO_TEXT(B72), ""[0-9]*\.?[0-9]+"")) * F72, 0)), """")"),"")</f>
        <v/>
      </c>
      <c r="H72" s="4"/>
      <c r="I72" s="4"/>
      <c r="J72" s="4"/>
      <c r="K72" s="31"/>
      <c r="L72" s="32"/>
      <c r="M72" s="32"/>
      <c r="N72" s="33"/>
      <c r="O72" s="3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8"/>
      <c r="B73" s="22"/>
      <c r="C73" s="22"/>
      <c r="D73" s="18" t="s">
        <v>15</v>
      </c>
      <c r="E73" s="22"/>
      <c r="F73" s="18" t="str">
        <f t="shared" si="1"/>
        <v/>
      </c>
      <c r="G73" s="23" t="str">
        <f>IFERROR(__xludf.DUMMYFUNCTION("IFERROR(IF(OR(B73="""", F73=""""), """", ROUND(VALUE(REGEXEXTRACT(TO_TEXT(B73), ""[0-9]*\.?[0-9]+"")) * F73, 0)), """")"),"")</f>
        <v/>
      </c>
      <c r="H73" s="4"/>
      <c r="I73" s="4"/>
      <c r="J73" s="4"/>
      <c r="K73" s="31"/>
      <c r="L73" s="32"/>
      <c r="M73" s="32"/>
      <c r="N73" s="33"/>
      <c r="O73" s="3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8"/>
      <c r="B74" s="22"/>
      <c r="C74" s="22"/>
      <c r="D74" s="18" t="s">
        <v>15</v>
      </c>
      <c r="E74" s="22"/>
      <c r="F74" s="18" t="str">
        <f t="shared" si="1"/>
        <v/>
      </c>
      <c r="G74" s="23" t="str">
        <f>IFERROR(__xludf.DUMMYFUNCTION("IFERROR(IF(OR(B74="""", F74=""""), """", ROUND(VALUE(REGEXEXTRACT(TO_TEXT(B74), ""[0-9]*\.?[0-9]+"")) * F74, 0)), """")"),"")</f>
        <v/>
      </c>
      <c r="H74" s="4"/>
      <c r="I74" s="4"/>
      <c r="J74" s="4"/>
      <c r="K74" s="31"/>
      <c r="L74" s="32"/>
      <c r="M74" s="32"/>
      <c r="N74" s="33"/>
      <c r="O74" s="3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8"/>
      <c r="B75" s="22"/>
      <c r="C75" s="22"/>
      <c r="D75" s="18" t="s">
        <v>15</v>
      </c>
      <c r="E75" s="22"/>
      <c r="F75" s="18" t="str">
        <f t="shared" si="1"/>
        <v/>
      </c>
      <c r="G75" s="23" t="str">
        <f>IFERROR(__xludf.DUMMYFUNCTION("IFERROR(IF(OR(B75="""", F75=""""), """", ROUND(VALUE(REGEXEXTRACT(TO_TEXT(B75), ""[0-9]*\.?[0-9]+"")) * F75, 0)), """")"),"")</f>
        <v/>
      </c>
      <c r="H75" s="4"/>
      <c r="I75" s="4"/>
      <c r="J75" s="4"/>
      <c r="K75" s="31"/>
      <c r="L75" s="32"/>
      <c r="M75" s="32"/>
      <c r="N75" s="33"/>
      <c r="O75" s="3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8"/>
      <c r="B76" s="22"/>
      <c r="C76" s="22"/>
      <c r="D76" s="18" t="s">
        <v>15</v>
      </c>
      <c r="E76" s="22"/>
      <c r="F76" s="18" t="str">
        <f t="shared" si="1"/>
        <v/>
      </c>
      <c r="G76" s="23" t="str">
        <f>IFERROR(__xludf.DUMMYFUNCTION("IFERROR(IF(OR(B76="""", F76=""""), """", ROUND(VALUE(REGEXEXTRACT(TO_TEXT(B76), ""[0-9]*\.?[0-9]+"")) * F76, 0)), """")"),"")</f>
        <v/>
      </c>
      <c r="H76" s="4"/>
      <c r="I76" s="4"/>
      <c r="J76" s="4"/>
      <c r="K76" s="31"/>
      <c r="L76" s="32"/>
      <c r="M76" s="32"/>
      <c r="N76" s="33"/>
      <c r="O76" s="3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8"/>
      <c r="B77" s="22"/>
      <c r="C77" s="22"/>
      <c r="D77" s="18" t="s">
        <v>15</v>
      </c>
      <c r="E77" s="22"/>
      <c r="F77" s="18" t="str">
        <f t="shared" si="1"/>
        <v/>
      </c>
      <c r="G77" s="23" t="str">
        <f>IFERROR(__xludf.DUMMYFUNCTION("IFERROR(IF(OR(B77="""", F77=""""), """", ROUND(VALUE(REGEXEXTRACT(TO_TEXT(B77), ""[0-9]*\.?[0-9]+"")) * F77, 0)), """")"),"")</f>
        <v/>
      </c>
      <c r="H77" s="4"/>
      <c r="I77" s="4"/>
      <c r="J77" s="4"/>
      <c r="K77" s="31"/>
      <c r="L77" s="32"/>
      <c r="M77" s="32"/>
      <c r="N77" s="33"/>
      <c r="O77" s="3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25"/>
      <c r="C78" s="25"/>
      <c r="D78" s="18" t="s">
        <v>15</v>
      </c>
      <c r="E78" s="22"/>
      <c r="F78" s="18" t="str">
        <f t="shared" si="1"/>
        <v/>
      </c>
      <c r="G78" s="23" t="str">
        <f>IFERROR(__xludf.DUMMYFUNCTION("IFERROR(IF(OR(B78="""", F78=""""), """", ROUND(VALUE(REGEXEXTRACT(TO_TEXT(B78), ""[0-9]*\.?[0-9]+"")) * F78, 0)), """")"),"")</f>
        <v/>
      </c>
      <c r="H78" s="4"/>
      <c r="I78" s="4"/>
      <c r="J78" s="4"/>
      <c r="K78" s="31"/>
      <c r="L78" s="32"/>
      <c r="M78" s="32"/>
      <c r="N78" s="33"/>
      <c r="O78" s="3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25"/>
      <c r="C79" s="25"/>
      <c r="D79" s="18" t="s">
        <v>15</v>
      </c>
      <c r="E79" s="22"/>
      <c r="F79" s="18" t="str">
        <f t="shared" si="1"/>
        <v/>
      </c>
      <c r="G79" s="23" t="str">
        <f>IFERROR(__xludf.DUMMYFUNCTION("IFERROR(IF(OR(B79="""", F79=""""), """", ROUND(VALUE(REGEXEXTRACT(TO_TEXT(B79), ""[0-9]*\.?[0-9]+"")) * F79, 0)), """")"),"")</f>
        <v/>
      </c>
      <c r="H79" s="4"/>
      <c r="I79" s="4"/>
      <c r="J79" s="4"/>
      <c r="K79" s="31"/>
      <c r="L79" s="32"/>
      <c r="M79" s="32"/>
      <c r="N79" s="33"/>
      <c r="O79" s="3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25"/>
      <c r="C80" s="25"/>
      <c r="D80" s="18" t="s">
        <v>15</v>
      </c>
      <c r="E80" s="22"/>
      <c r="F80" s="18" t="str">
        <f t="shared" si="1"/>
        <v/>
      </c>
      <c r="G80" s="23" t="str">
        <f>IFERROR(__xludf.DUMMYFUNCTION("IFERROR(IF(OR(B80="""", F80=""""), """", ROUND(VALUE(REGEXEXTRACT(TO_TEXT(B80), ""[0-9]*\.?[0-9]+"")) * F80, 0)), """")"),"")</f>
        <v/>
      </c>
      <c r="H80" s="4"/>
      <c r="I80" s="4"/>
      <c r="J80" s="4"/>
      <c r="K80" s="31"/>
      <c r="L80" s="32"/>
      <c r="M80" s="32"/>
      <c r="N80" s="33"/>
      <c r="O80" s="3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25"/>
      <c r="C81" s="25"/>
      <c r="D81" s="18" t="s">
        <v>15</v>
      </c>
      <c r="E81" s="22"/>
      <c r="F81" s="18" t="str">
        <f t="shared" si="1"/>
        <v/>
      </c>
      <c r="G81" s="23" t="str">
        <f>IFERROR(__xludf.DUMMYFUNCTION("IFERROR(IF(OR(B81="""", F81=""""), """", ROUND(VALUE(REGEXEXTRACT(TO_TEXT(B81), ""[0-9]*\.?[0-9]+"")) * F81, 0)), """")"),"")</f>
        <v/>
      </c>
      <c r="H81" s="4"/>
      <c r="I81" s="4"/>
      <c r="J81" s="4"/>
      <c r="K81" s="31"/>
      <c r="L81" s="32"/>
      <c r="M81" s="32"/>
      <c r="N81" s="33"/>
      <c r="O81" s="3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25"/>
      <c r="C82" s="25"/>
      <c r="D82" s="18" t="s">
        <v>15</v>
      </c>
      <c r="E82" s="22"/>
      <c r="F82" s="18" t="str">
        <f t="shared" si="1"/>
        <v/>
      </c>
      <c r="G82" s="23" t="str">
        <f>IFERROR(__xludf.DUMMYFUNCTION("IFERROR(IF(OR(B82="""", F82=""""), """", ROUND(VALUE(REGEXEXTRACT(TO_TEXT(B82), ""[0-9]*\.?[0-9]+"")) * F82, 0)), """")"),"")</f>
        <v/>
      </c>
      <c r="H82" s="4"/>
      <c r="I82" s="4"/>
      <c r="J82" s="4"/>
      <c r="K82" s="31"/>
      <c r="L82" s="32"/>
      <c r="M82" s="32"/>
      <c r="N82" s="33"/>
      <c r="O82" s="3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25"/>
      <c r="C83" s="25"/>
      <c r="D83" s="18" t="s">
        <v>15</v>
      </c>
      <c r="E83" s="22"/>
      <c r="F83" s="18" t="str">
        <f t="shared" si="1"/>
        <v/>
      </c>
      <c r="G83" s="23" t="str">
        <f>IFERROR(__xludf.DUMMYFUNCTION("IFERROR(IF(OR(B83="""", F83=""""), """", ROUND(VALUE(REGEXEXTRACT(TO_TEXT(B83), ""[0-9]*\.?[0-9]+"")) * F83, 0)), """")"),"")</f>
        <v/>
      </c>
      <c r="H83" s="4"/>
      <c r="I83" s="4"/>
      <c r="J83" s="4"/>
      <c r="K83" s="31"/>
      <c r="L83" s="32"/>
      <c r="M83" s="32"/>
      <c r="N83" s="33"/>
      <c r="O83" s="3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25"/>
      <c r="C84" s="25"/>
      <c r="D84" s="18" t="s">
        <v>15</v>
      </c>
      <c r="E84" s="22"/>
      <c r="F84" s="18" t="str">
        <f t="shared" si="1"/>
        <v/>
      </c>
      <c r="G84" s="23" t="str">
        <f>IFERROR(__xludf.DUMMYFUNCTION("IFERROR(IF(OR(B84="""", F84=""""), """", ROUND(VALUE(REGEXEXTRACT(TO_TEXT(B84), ""[0-9]*\.?[0-9]+"")) * F84, 0)), """")"),"")</f>
        <v/>
      </c>
      <c r="H84" s="4"/>
      <c r="I84" s="4"/>
      <c r="J84" s="4"/>
      <c r="K84" s="31"/>
      <c r="L84" s="32"/>
      <c r="M84" s="32"/>
      <c r="N84" s="33"/>
      <c r="O84" s="3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25"/>
      <c r="C85" s="25"/>
      <c r="D85" s="18" t="s">
        <v>15</v>
      </c>
      <c r="E85" s="22"/>
      <c r="F85" s="18" t="str">
        <f t="shared" si="1"/>
        <v/>
      </c>
      <c r="G85" s="23" t="str">
        <f>IFERROR(__xludf.DUMMYFUNCTION("IFERROR(IF(OR(B85="""", F85=""""), """", ROUND(VALUE(REGEXEXTRACT(TO_TEXT(B85), ""[0-9]*\.?[0-9]+"")) * F85, 0)), """")"),"")</f>
        <v/>
      </c>
      <c r="H85" s="4"/>
      <c r="I85" s="4"/>
      <c r="J85" s="4"/>
      <c r="K85" s="31"/>
      <c r="L85" s="32"/>
      <c r="M85" s="32"/>
      <c r="N85" s="33"/>
      <c r="O85" s="3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25"/>
      <c r="C86" s="25"/>
      <c r="D86" s="18" t="s">
        <v>15</v>
      </c>
      <c r="E86" s="22"/>
      <c r="F86" s="18" t="str">
        <f t="shared" si="1"/>
        <v/>
      </c>
      <c r="G86" s="23" t="str">
        <f>IFERROR(__xludf.DUMMYFUNCTION("IFERROR(IF(OR(B86="""", F86=""""), """", ROUND(VALUE(REGEXEXTRACT(TO_TEXT(B86), ""[0-9]*\.?[0-9]+"")) * F86, 0)), """")"),"")</f>
        <v/>
      </c>
      <c r="H86" s="4"/>
      <c r="I86" s="4"/>
      <c r="J86" s="4"/>
      <c r="K86" s="31"/>
      <c r="L86" s="32"/>
      <c r="M86" s="32"/>
      <c r="N86" s="33"/>
      <c r="O86" s="3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25"/>
      <c r="C87" s="25"/>
      <c r="D87" s="18" t="s">
        <v>15</v>
      </c>
      <c r="E87" s="22"/>
      <c r="F87" s="18" t="str">
        <f t="shared" si="1"/>
        <v/>
      </c>
      <c r="G87" s="23" t="str">
        <f>IFERROR(__xludf.DUMMYFUNCTION("IFERROR(IF(OR(B87="""", F87=""""), """", ROUND(VALUE(REGEXEXTRACT(TO_TEXT(B87), ""[0-9]*\.?[0-9]+"")) * F87, 0)), """")"),"")</f>
        <v/>
      </c>
      <c r="H87" s="4"/>
      <c r="I87" s="4"/>
      <c r="J87" s="4"/>
      <c r="K87" s="31"/>
      <c r="L87" s="32"/>
      <c r="M87" s="32"/>
      <c r="N87" s="33"/>
      <c r="O87" s="3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25"/>
      <c r="C88" s="25"/>
      <c r="D88" s="18" t="s">
        <v>15</v>
      </c>
      <c r="E88" s="22"/>
      <c r="F88" s="18" t="str">
        <f t="shared" si="1"/>
        <v/>
      </c>
      <c r="G88" s="23" t="str">
        <f>IFERROR(__xludf.DUMMYFUNCTION("IFERROR(IF(OR(B88="""", F88=""""), """", ROUND(VALUE(REGEXEXTRACT(TO_TEXT(B88), ""[0-9]*\.?[0-9]+"")) * F88, 0)), """")"),"")</f>
        <v/>
      </c>
      <c r="H88" s="4"/>
      <c r="I88" s="4"/>
      <c r="J88" s="4"/>
      <c r="K88" s="31"/>
      <c r="L88" s="32"/>
      <c r="M88" s="32"/>
      <c r="N88" s="33"/>
      <c r="O88" s="3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25"/>
      <c r="C89" s="25"/>
      <c r="D89" s="18" t="s">
        <v>15</v>
      </c>
      <c r="E89" s="22"/>
      <c r="F89" s="18" t="str">
        <f t="shared" si="1"/>
        <v/>
      </c>
      <c r="G89" s="23" t="str">
        <f>IFERROR(__xludf.DUMMYFUNCTION("IFERROR(IF(OR(B89="""", F89=""""), """", ROUND(VALUE(REGEXEXTRACT(TO_TEXT(B89), ""[0-9]*\.?[0-9]+"")) * F89, 0)), """")"),"")</f>
        <v/>
      </c>
      <c r="H89" s="4"/>
      <c r="I89" s="4"/>
      <c r="J89" s="4"/>
      <c r="K89" s="31"/>
      <c r="L89" s="32"/>
      <c r="M89" s="32"/>
      <c r="N89" s="33"/>
      <c r="O89" s="3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25"/>
      <c r="C90" s="25"/>
      <c r="D90" s="18" t="s">
        <v>15</v>
      </c>
      <c r="E90" s="22"/>
      <c r="F90" s="18" t="str">
        <f t="shared" si="1"/>
        <v/>
      </c>
      <c r="G90" s="23" t="str">
        <f>IFERROR(__xludf.DUMMYFUNCTION("IFERROR(IF(OR(B90="""", F90=""""), """", ROUND(VALUE(REGEXEXTRACT(TO_TEXT(B90), ""[0-9]*\.?[0-9]+"")) * F90, 0)), """")"),"")</f>
        <v/>
      </c>
      <c r="H90" s="4"/>
      <c r="I90" s="4"/>
      <c r="J90" s="4"/>
      <c r="K90" s="31"/>
      <c r="L90" s="32"/>
      <c r="M90" s="32"/>
      <c r="N90" s="33"/>
      <c r="O90" s="3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25"/>
      <c r="C91" s="25"/>
      <c r="D91" s="18" t="s">
        <v>15</v>
      </c>
      <c r="E91" s="22"/>
      <c r="F91" s="18" t="str">
        <f t="shared" si="1"/>
        <v/>
      </c>
      <c r="G91" s="23" t="str">
        <f>IFERROR(__xludf.DUMMYFUNCTION("IFERROR(IF(OR(B91="""", F91=""""), """", ROUND(VALUE(REGEXEXTRACT(TO_TEXT(B91), ""[0-9]*\.?[0-9]+"")) * F91, 0)), """")"),"")</f>
        <v/>
      </c>
      <c r="H91" s="4"/>
      <c r="I91" s="4"/>
      <c r="J91" s="4"/>
      <c r="K91" s="31"/>
      <c r="L91" s="32"/>
      <c r="M91" s="32"/>
      <c r="N91" s="33"/>
      <c r="O91" s="3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25"/>
      <c r="C92" s="25"/>
      <c r="D92" s="18" t="s">
        <v>15</v>
      </c>
      <c r="E92" s="22"/>
      <c r="F92" s="18" t="str">
        <f t="shared" si="1"/>
        <v/>
      </c>
      <c r="G92" s="23" t="str">
        <f>IFERROR(__xludf.DUMMYFUNCTION("IFERROR(IF(OR(B92="""", F92=""""), """", ROUND(VALUE(REGEXEXTRACT(TO_TEXT(B92), ""[0-9]*\.?[0-9]+"")) * F92, 0)), """")"),"")</f>
        <v/>
      </c>
      <c r="H92" s="4"/>
      <c r="I92" s="4"/>
      <c r="J92" s="4"/>
      <c r="K92" s="31"/>
      <c r="L92" s="32"/>
      <c r="M92" s="32"/>
      <c r="N92" s="33"/>
      <c r="O92" s="3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25"/>
      <c r="C93" s="25"/>
      <c r="D93" s="18" t="s">
        <v>15</v>
      </c>
      <c r="E93" s="22"/>
      <c r="F93" s="18" t="str">
        <f t="shared" si="1"/>
        <v/>
      </c>
      <c r="G93" s="23" t="str">
        <f>IFERROR(__xludf.DUMMYFUNCTION("IFERROR(IF(OR(B93="""", F93=""""), """", ROUND(VALUE(REGEXEXTRACT(TO_TEXT(B93), ""[0-9]*\.?[0-9]+"")) * F93, 0)), """")"),"")</f>
        <v/>
      </c>
      <c r="H93" s="4"/>
      <c r="I93" s="4"/>
      <c r="J93" s="4"/>
      <c r="K93" s="31"/>
      <c r="L93" s="32"/>
      <c r="M93" s="32"/>
      <c r="N93" s="33"/>
      <c r="O93" s="3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25"/>
      <c r="C94" s="25"/>
      <c r="D94" s="18" t="s">
        <v>15</v>
      </c>
      <c r="E94" s="22"/>
      <c r="F94" s="18" t="str">
        <f t="shared" si="1"/>
        <v/>
      </c>
      <c r="G94" s="23" t="str">
        <f>IFERROR(__xludf.DUMMYFUNCTION("IFERROR(IF(OR(B94="""", F94=""""), """", ROUND(VALUE(REGEXEXTRACT(TO_TEXT(B94), ""[0-9]*\.?[0-9]+"")) * F94, 0)), """")"),"")</f>
        <v/>
      </c>
      <c r="H94" s="4"/>
      <c r="I94" s="4"/>
      <c r="J94" s="4"/>
      <c r="K94" s="31"/>
      <c r="L94" s="32"/>
      <c r="M94" s="32"/>
      <c r="N94" s="33"/>
      <c r="O94" s="3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25"/>
      <c r="C95" s="25"/>
      <c r="D95" s="18" t="s">
        <v>15</v>
      </c>
      <c r="E95" s="22"/>
      <c r="F95" s="18" t="str">
        <f t="shared" si="1"/>
        <v/>
      </c>
      <c r="G95" s="23" t="str">
        <f>IFERROR(__xludf.DUMMYFUNCTION("IFERROR(IF(OR(B95="""", F95=""""), """", ROUND(VALUE(REGEXEXTRACT(TO_TEXT(B95), ""[0-9]*\.?[0-9]+"")) * F95, 0)), """")"),"")</f>
        <v/>
      </c>
      <c r="H95" s="4"/>
      <c r="I95" s="4"/>
      <c r="J95" s="4"/>
      <c r="K95" s="31"/>
      <c r="L95" s="32"/>
      <c r="M95" s="32"/>
      <c r="N95" s="33"/>
      <c r="O95" s="3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25"/>
      <c r="C96" s="25"/>
      <c r="D96" s="18" t="s">
        <v>15</v>
      </c>
      <c r="E96" s="22"/>
      <c r="F96" s="18" t="str">
        <f t="shared" si="1"/>
        <v/>
      </c>
      <c r="G96" s="23" t="str">
        <f>IFERROR(__xludf.DUMMYFUNCTION("IFERROR(IF(OR(B96="""", F96=""""), """", ROUND(VALUE(REGEXEXTRACT(TO_TEXT(B96), ""[0-9]*\.?[0-9]+"")) * F96, 0)), """")"),"")</f>
        <v/>
      </c>
      <c r="H96" s="4"/>
      <c r="I96" s="4"/>
      <c r="J96" s="4"/>
      <c r="K96" s="31"/>
      <c r="L96" s="32"/>
      <c r="M96" s="32"/>
      <c r="N96" s="33"/>
      <c r="O96" s="3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25"/>
      <c r="C97" s="25"/>
      <c r="D97" s="18" t="s">
        <v>15</v>
      </c>
      <c r="E97" s="22"/>
      <c r="F97" s="18" t="str">
        <f t="shared" si="1"/>
        <v/>
      </c>
      <c r="G97" s="23" t="str">
        <f>IFERROR(__xludf.DUMMYFUNCTION("IFERROR(IF(OR(B97="""", F97=""""), """", ROUND(VALUE(REGEXEXTRACT(TO_TEXT(B97), ""[0-9]*\.?[0-9]+"")) * F97, 0)), """")"),"")</f>
        <v/>
      </c>
      <c r="H97" s="4"/>
      <c r="I97" s="4"/>
      <c r="J97" s="4"/>
      <c r="K97" s="31"/>
      <c r="L97" s="32"/>
      <c r="M97" s="32"/>
      <c r="N97" s="33"/>
      <c r="O97" s="3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25"/>
      <c r="C98" s="25"/>
      <c r="D98" s="18" t="s">
        <v>15</v>
      </c>
      <c r="E98" s="22"/>
      <c r="F98" s="18" t="str">
        <f t="shared" si="1"/>
        <v/>
      </c>
      <c r="G98" s="23" t="str">
        <f>IFERROR(__xludf.DUMMYFUNCTION("IFERROR(IF(OR(B98="""", F98=""""), """", ROUND(VALUE(REGEXEXTRACT(TO_TEXT(B98), ""[0-9]*\.?[0-9]+"")) * F98, 0)), """")"),"")</f>
        <v/>
      </c>
      <c r="H98" s="4"/>
      <c r="I98" s="4"/>
      <c r="J98" s="4"/>
      <c r="K98" s="31"/>
      <c r="L98" s="32"/>
      <c r="M98" s="32"/>
      <c r="N98" s="33"/>
      <c r="O98" s="3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25"/>
      <c r="C99" s="25"/>
      <c r="D99" s="18" t="s">
        <v>15</v>
      </c>
      <c r="E99" s="22"/>
      <c r="F99" s="18" t="str">
        <f t="shared" si="1"/>
        <v/>
      </c>
      <c r="G99" s="23" t="str">
        <f>IFERROR(__xludf.DUMMYFUNCTION("IFERROR(IF(OR(B99="""", F99=""""), """", ROUND(VALUE(REGEXEXTRACT(TO_TEXT(B99), ""[0-9]*\.?[0-9]+"")) * F99, 0)), """")"),"")</f>
        <v/>
      </c>
      <c r="H99" s="4"/>
      <c r="I99" s="4"/>
      <c r="J99" s="4"/>
      <c r="K99" s="31"/>
      <c r="L99" s="32"/>
      <c r="M99" s="32"/>
      <c r="N99" s="33"/>
      <c r="O99" s="3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25"/>
      <c r="C100" s="25"/>
      <c r="D100" s="18" t="s">
        <v>15</v>
      </c>
      <c r="E100" s="22"/>
      <c r="F100" s="18" t="str">
        <f t="shared" si="1"/>
        <v/>
      </c>
      <c r="G100" s="23" t="str">
        <f>IFERROR(__xludf.DUMMYFUNCTION("IFERROR(IF(OR(B100="""", F100=""""), """", ROUND(VALUE(REGEXEXTRACT(TO_TEXT(B100), ""[0-9]*\.?[0-9]+"")) * F100, 0)), """")"),"")</f>
        <v/>
      </c>
      <c r="H100" s="4"/>
      <c r="I100" s="4"/>
      <c r="J100" s="4"/>
      <c r="K100" s="31"/>
      <c r="L100" s="32"/>
      <c r="M100" s="32"/>
      <c r="N100" s="33"/>
      <c r="O100" s="3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25"/>
      <c r="C101" s="25"/>
      <c r="D101" s="18" t="s">
        <v>15</v>
      </c>
      <c r="E101" s="22"/>
      <c r="F101" s="18" t="str">
        <f t="shared" si="1"/>
        <v/>
      </c>
      <c r="G101" s="23" t="str">
        <f>IFERROR(__xludf.DUMMYFUNCTION("IFERROR(IF(OR(B101="""", F101=""""), """", ROUND(VALUE(REGEXEXTRACT(TO_TEXT(B101), ""[0-9]*\.?[0-9]+"")) * F101, 0)), """")"),"")</f>
        <v/>
      </c>
      <c r="H101" s="4"/>
      <c r="I101" s="4"/>
      <c r="J101" s="4"/>
      <c r="K101" s="31"/>
      <c r="L101" s="32"/>
      <c r="M101" s="32"/>
      <c r="N101" s="33"/>
      <c r="O101" s="3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25"/>
      <c r="C102" s="25"/>
      <c r="D102" s="18" t="s">
        <v>15</v>
      </c>
      <c r="E102" s="22"/>
      <c r="F102" s="18" t="str">
        <f t="shared" si="1"/>
        <v/>
      </c>
      <c r="G102" s="23" t="str">
        <f>IFERROR(__xludf.DUMMYFUNCTION("IFERROR(IF(OR(B102="""", F102=""""), """", ROUND(VALUE(REGEXEXTRACT(TO_TEXT(B102), ""[0-9]*\.?[0-9]+"")) * F102, 0)), """")"),"")</f>
        <v/>
      </c>
      <c r="H102" s="4"/>
      <c r="I102" s="4"/>
      <c r="J102" s="4"/>
      <c r="K102" s="31"/>
      <c r="L102" s="32"/>
      <c r="M102" s="32"/>
      <c r="N102" s="33"/>
      <c r="O102" s="3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25"/>
      <c r="C103" s="25"/>
      <c r="D103" s="18" t="s">
        <v>15</v>
      </c>
      <c r="E103" s="22"/>
      <c r="F103" s="18" t="str">
        <f t="shared" si="1"/>
        <v/>
      </c>
      <c r="G103" s="23" t="str">
        <f>IFERROR(__xludf.DUMMYFUNCTION("IFERROR(IF(OR(B103="""", F103=""""), """", ROUND(VALUE(REGEXEXTRACT(TO_TEXT(B103), ""[0-9]*\.?[0-9]+"")) * F103, 0)), """")"),"")</f>
        <v/>
      </c>
      <c r="H103" s="4"/>
      <c r="I103" s="4"/>
      <c r="J103" s="4"/>
      <c r="K103" s="31"/>
      <c r="L103" s="32"/>
      <c r="M103" s="32"/>
      <c r="N103" s="33"/>
      <c r="O103" s="3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25"/>
      <c r="C104" s="25"/>
      <c r="D104" s="18" t="s">
        <v>15</v>
      </c>
      <c r="E104" s="22"/>
      <c r="F104" s="18" t="str">
        <f t="shared" si="1"/>
        <v/>
      </c>
      <c r="G104" s="23" t="str">
        <f>IFERROR(__xludf.DUMMYFUNCTION("IFERROR(IF(OR(B104="""", F104=""""), """", ROUND(VALUE(REGEXEXTRACT(TO_TEXT(B104), ""[0-9]*\.?[0-9]+"")) * F104, 0)), """")"),"")</f>
        <v/>
      </c>
      <c r="H104" s="4"/>
      <c r="I104" s="4"/>
      <c r="J104" s="4"/>
      <c r="K104" s="31"/>
      <c r="L104" s="32"/>
      <c r="M104" s="32"/>
      <c r="N104" s="33"/>
      <c r="O104" s="3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25"/>
      <c r="C105" s="25"/>
      <c r="D105" s="18" t="s">
        <v>15</v>
      </c>
      <c r="E105" s="22"/>
      <c r="F105" s="18" t="str">
        <f t="shared" si="1"/>
        <v/>
      </c>
      <c r="G105" s="23" t="str">
        <f>IFERROR(__xludf.DUMMYFUNCTION("IFERROR(IF(OR(B105="""", F105=""""), """", ROUND(VALUE(REGEXEXTRACT(TO_TEXT(B105), ""[0-9]*\.?[0-9]+"")) * F105, 0)), """")"),"")</f>
        <v/>
      </c>
      <c r="H105" s="4"/>
      <c r="I105" s="4"/>
      <c r="J105" s="4"/>
      <c r="K105" s="31"/>
      <c r="L105" s="32"/>
      <c r="M105" s="32"/>
      <c r="N105" s="33"/>
      <c r="O105" s="3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25"/>
      <c r="C106" s="25"/>
      <c r="D106" s="18" t="s">
        <v>15</v>
      </c>
      <c r="E106" s="22"/>
      <c r="F106" s="18" t="str">
        <f t="shared" si="1"/>
        <v/>
      </c>
      <c r="G106" s="23" t="str">
        <f>IFERROR(__xludf.DUMMYFUNCTION("IFERROR(IF(OR(B106="""", F106=""""), """", ROUND(VALUE(REGEXEXTRACT(TO_TEXT(B106), ""[0-9]*\.?[0-9]+"")) * F106, 0)), """")"),"")</f>
        <v/>
      </c>
      <c r="H106" s="4"/>
      <c r="I106" s="4"/>
      <c r="J106" s="4"/>
      <c r="K106" s="31"/>
      <c r="L106" s="32"/>
      <c r="M106" s="32"/>
      <c r="N106" s="33"/>
      <c r="O106" s="3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25"/>
      <c r="C107" s="25"/>
      <c r="D107" s="18" t="s">
        <v>15</v>
      </c>
      <c r="E107" s="22"/>
      <c r="F107" s="18" t="str">
        <f t="shared" si="1"/>
        <v/>
      </c>
      <c r="G107" s="23" t="str">
        <f>IFERROR(__xludf.DUMMYFUNCTION("IFERROR(IF(OR(B107="""", F107=""""), """", ROUND(VALUE(REGEXEXTRACT(TO_TEXT(B107), ""[0-9]*\.?[0-9]+"")) * F107, 0)), """")"),"")</f>
        <v/>
      </c>
      <c r="H107" s="4"/>
      <c r="I107" s="4"/>
      <c r="J107" s="4"/>
      <c r="K107" s="31"/>
      <c r="L107" s="32"/>
      <c r="M107" s="32"/>
      <c r="N107" s="33"/>
      <c r="O107" s="3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25"/>
      <c r="C108" s="25"/>
      <c r="D108" s="18" t="s">
        <v>15</v>
      </c>
      <c r="E108" s="22"/>
      <c r="F108" s="18" t="str">
        <f t="shared" si="1"/>
        <v/>
      </c>
      <c r="G108" s="23" t="str">
        <f>IFERROR(__xludf.DUMMYFUNCTION("IFERROR(IF(OR(B108="""", F108=""""), """", ROUND(VALUE(REGEXEXTRACT(TO_TEXT(B108), ""[0-9]*\.?[0-9]+"")) * F108, 0)), """")"),"")</f>
        <v/>
      </c>
      <c r="H108" s="4"/>
      <c r="I108" s="4"/>
      <c r="J108" s="4"/>
      <c r="K108" s="31"/>
      <c r="L108" s="32"/>
      <c r="M108" s="32"/>
      <c r="N108" s="33"/>
      <c r="O108" s="3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25"/>
      <c r="C109" s="25"/>
      <c r="D109" s="18" t="s">
        <v>15</v>
      </c>
      <c r="E109" s="22"/>
      <c r="F109" s="18" t="str">
        <f t="shared" si="1"/>
        <v/>
      </c>
      <c r="G109" s="23" t="str">
        <f>IFERROR(__xludf.DUMMYFUNCTION("IFERROR(IF(OR(B109="""", F109=""""), """", ROUND(VALUE(REGEXEXTRACT(TO_TEXT(B109), ""[0-9]*\.?[0-9]+"")) * F109, 0)), """")"),"")</f>
        <v/>
      </c>
      <c r="H109" s="4"/>
      <c r="I109" s="4"/>
      <c r="J109" s="4"/>
      <c r="K109" s="31"/>
      <c r="L109" s="32"/>
      <c r="M109" s="32"/>
      <c r="N109" s="33"/>
      <c r="O109" s="3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25"/>
      <c r="C110" s="25"/>
      <c r="D110" s="18" t="s">
        <v>15</v>
      </c>
      <c r="E110" s="22"/>
      <c r="F110" s="18" t="str">
        <f t="shared" si="1"/>
        <v/>
      </c>
      <c r="G110" s="23" t="str">
        <f>IFERROR(__xludf.DUMMYFUNCTION("IFERROR(IF(OR(B110="""", F110=""""), """", ROUND(VALUE(REGEXEXTRACT(TO_TEXT(B110), ""[0-9]*\.?[0-9]+"")) * F110, 0)), """")"),"")</f>
        <v/>
      </c>
      <c r="H110" s="4"/>
      <c r="I110" s="4"/>
      <c r="J110" s="4"/>
      <c r="K110" s="31"/>
      <c r="L110" s="32"/>
      <c r="M110" s="32"/>
      <c r="N110" s="33"/>
      <c r="O110" s="3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25"/>
      <c r="C111" s="25"/>
      <c r="D111" s="18" t="s">
        <v>15</v>
      </c>
      <c r="E111" s="22"/>
      <c r="F111" s="18" t="str">
        <f t="shared" si="1"/>
        <v/>
      </c>
      <c r="G111" s="23" t="str">
        <f>IFERROR(__xludf.DUMMYFUNCTION("IFERROR(IF(OR(B111="""", F111=""""), """", ROUND(VALUE(REGEXEXTRACT(TO_TEXT(B111), ""[0-9]*\.?[0-9]+"")) * F111, 0)), """")"),"")</f>
        <v/>
      </c>
      <c r="H111" s="4"/>
      <c r="I111" s="4"/>
      <c r="J111" s="4"/>
      <c r="K111" s="31"/>
      <c r="L111" s="32"/>
      <c r="M111" s="32"/>
      <c r="N111" s="33"/>
      <c r="O111" s="3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25"/>
      <c r="C112" s="25"/>
      <c r="D112" s="18" t="s">
        <v>15</v>
      </c>
      <c r="E112" s="22"/>
      <c r="F112" s="18" t="str">
        <f t="shared" si="1"/>
        <v/>
      </c>
      <c r="G112" s="23" t="str">
        <f>IFERROR(__xludf.DUMMYFUNCTION("IFERROR(IF(OR(B112="""", F112=""""), """", ROUND(VALUE(REGEXEXTRACT(TO_TEXT(B112), ""[0-9]*\.?[0-9]+"")) * F112, 0)), """")"),"")</f>
        <v/>
      </c>
      <c r="H112" s="4"/>
      <c r="I112" s="4"/>
      <c r="J112" s="4"/>
      <c r="K112" s="31"/>
      <c r="L112" s="32"/>
      <c r="M112" s="32"/>
      <c r="N112" s="33"/>
      <c r="O112" s="3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25"/>
      <c r="C113" s="25"/>
      <c r="D113" s="18" t="s">
        <v>15</v>
      </c>
      <c r="E113" s="22"/>
      <c r="F113" s="18" t="str">
        <f t="shared" si="1"/>
        <v/>
      </c>
      <c r="G113" s="23" t="str">
        <f>IFERROR(__xludf.DUMMYFUNCTION("IFERROR(IF(OR(B113="""", F113=""""), """", ROUND(VALUE(REGEXEXTRACT(TO_TEXT(B113), ""[0-9]*\.?[0-9]+"")) * F113, 0)), """")"),"")</f>
        <v/>
      </c>
      <c r="H113" s="4"/>
      <c r="I113" s="4"/>
      <c r="J113" s="4"/>
      <c r="K113" s="31"/>
      <c r="L113" s="32"/>
      <c r="M113" s="32"/>
      <c r="N113" s="33"/>
      <c r="O113" s="3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25"/>
      <c r="C114" s="25"/>
      <c r="D114" s="18" t="s">
        <v>15</v>
      </c>
      <c r="E114" s="22"/>
      <c r="F114" s="18" t="str">
        <f t="shared" si="1"/>
        <v/>
      </c>
      <c r="G114" s="23" t="str">
        <f>IFERROR(__xludf.DUMMYFUNCTION("IFERROR(IF(OR(B114="""", F114=""""), """", ROUND(VALUE(REGEXEXTRACT(TO_TEXT(B114), ""[0-9]*\.?[0-9]+"")) * F114, 0)), """")"),"")</f>
        <v/>
      </c>
      <c r="H114" s="4"/>
      <c r="I114" s="4"/>
      <c r="J114" s="4"/>
      <c r="K114" s="31"/>
      <c r="L114" s="32"/>
      <c r="M114" s="32"/>
      <c r="N114" s="33"/>
      <c r="O114" s="3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25"/>
      <c r="C115" s="25"/>
      <c r="D115" s="18" t="s">
        <v>15</v>
      </c>
      <c r="E115" s="22"/>
      <c r="F115" s="18" t="str">
        <f t="shared" si="1"/>
        <v/>
      </c>
      <c r="G115" s="23" t="str">
        <f>IFERROR(__xludf.DUMMYFUNCTION("IFERROR(IF(OR(B115="""", F115=""""), """", ROUND(VALUE(REGEXEXTRACT(TO_TEXT(B115), ""[0-9]*\.?[0-9]+"")) * F115, 0)), """")"),"")</f>
        <v/>
      </c>
      <c r="H115" s="4"/>
      <c r="I115" s="4"/>
      <c r="J115" s="4"/>
      <c r="K115" s="31"/>
      <c r="L115" s="32"/>
      <c r="M115" s="32"/>
      <c r="N115" s="33"/>
      <c r="O115" s="3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25"/>
      <c r="C116" s="25"/>
      <c r="D116" s="18" t="s">
        <v>15</v>
      </c>
      <c r="E116" s="22"/>
      <c r="F116" s="18" t="str">
        <f t="shared" si="1"/>
        <v/>
      </c>
      <c r="G116" s="23" t="str">
        <f>IFERROR(__xludf.DUMMYFUNCTION("IFERROR(IF(OR(B116="""", F116=""""), """", ROUND(VALUE(REGEXEXTRACT(TO_TEXT(B116), ""[0-9]*\.?[0-9]+"")) * F116, 0)), """")"),"")</f>
        <v/>
      </c>
      <c r="H116" s="4"/>
      <c r="I116" s="4"/>
      <c r="J116" s="4"/>
      <c r="K116" s="31"/>
      <c r="L116" s="32"/>
      <c r="M116" s="32"/>
      <c r="N116" s="33"/>
      <c r="O116" s="3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25"/>
      <c r="C117" s="25"/>
      <c r="D117" s="18" t="s">
        <v>15</v>
      </c>
      <c r="E117" s="22"/>
      <c r="F117" s="18" t="str">
        <f t="shared" si="1"/>
        <v/>
      </c>
      <c r="G117" s="23" t="str">
        <f>IFERROR(__xludf.DUMMYFUNCTION("IFERROR(IF(OR(B117="""", F117=""""), """", ROUND(VALUE(REGEXEXTRACT(TO_TEXT(B117), ""[0-9]*\.?[0-9]+"")) * F117, 0)), """")"),"")</f>
        <v/>
      </c>
      <c r="H117" s="4"/>
      <c r="I117" s="4"/>
      <c r="J117" s="4"/>
      <c r="K117" s="31"/>
      <c r="L117" s="32"/>
      <c r="M117" s="32"/>
      <c r="N117" s="33"/>
      <c r="O117" s="3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25"/>
      <c r="C118" s="25"/>
      <c r="D118" s="18" t="s">
        <v>15</v>
      </c>
      <c r="E118" s="22"/>
      <c r="F118" s="18" t="str">
        <f t="shared" si="1"/>
        <v/>
      </c>
      <c r="G118" s="23" t="str">
        <f>IFERROR(__xludf.DUMMYFUNCTION("IFERROR(IF(OR(B118="""", F118=""""), """", ROUND(VALUE(REGEXEXTRACT(TO_TEXT(B118), ""[0-9]*\.?[0-9]+"")) * F118, 0)), """")"),"")</f>
        <v/>
      </c>
      <c r="H118" s="4"/>
      <c r="I118" s="4"/>
      <c r="J118" s="4"/>
      <c r="K118" s="31"/>
      <c r="L118" s="32"/>
      <c r="M118" s="32"/>
      <c r="N118" s="33"/>
      <c r="O118" s="3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25"/>
      <c r="C119" s="25"/>
      <c r="D119" s="18" t="s">
        <v>15</v>
      </c>
      <c r="E119" s="22"/>
      <c r="F119" s="18" t="str">
        <f t="shared" si="1"/>
        <v/>
      </c>
      <c r="G119" s="23" t="str">
        <f>IFERROR(__xludf.DUMMYFUNCTION("IFERROR(IF(OR(B119="""", F119=""""), """", ROUND(VALUE(REGEXEXTRACT(TO_TEXT(B119), ""[0-9]*\.?[0-9]+"")) * F119, 0)), """")"),"")</f>
        <v/>
      </c>
      <c r="H119" s="4"/>
      <c r="I119" s="4"/>
      <c r="J119" s="4"/>
      <c r="K119" s="31"/>
      <c r="L119" s="32"/>
      <c r="M119" s="32"/>
      <c r="N119" s="33"/>
      <c r="O119" s="3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25"/>
      <c r="C120" s="25"/>
      <c r="D120" s="18" t="s">
        <v>15</v>
      </c>
      <c r="E120" s="22"/>
      <c r="F120" s="18" t="str">
        <f t="shared" si="1"/>
        <v/>
      </c>
      <c r="G120" s="23" t="str">
        <f>IFERROR(__xludf.DUMMYFUNCTION("IFERROR(IF(OR(B120="""", F120=""""), """", ROUND(VALUE(REGEXEXTRACT(TO_TEXT(B120), ""[0-9]*\.?[0-9]+"")) * F120, 0)), """")"),"")</f>
        <v/>
      </c>
      <c r="H120" s="4"/>
      <c r="I120" s="4"/>
      <c r="J120" s="4"/>
      <c r="K120" s="31"/>
      <c r="L120" s="32"/>
      <c r="M120" s="32"/>
      <c r="N120" s="33"/>
      <c r="O120" s="3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25"/>
      <c r="C121" s="25"/>
      <c r="D121" s="18" t="s">
        <v>15</v>
      </c>
      <c r="E121" s="22"/>
      <c r="F121" s="18" t="str">
        <f t="shared" si="1"/>
        <v/>
      </c>
      <c r="G121" s="23" t="str">
        <f>IFERROR(__xludf.DUMMYFUNCTION("IFERROR(IF(OR(B121="""", F121=""""), """", ROUND(VALUE(REGEXEXTRACT(TO_TEXT(B121), ""[0-9]*\.?[0-9]+"")) * F121, 0)), """")"),"")</f>
        <v/>
      </c>
      <c r="H121" s="4"/>
      <c r="I121" s="4"/>
      <c r="J121" s="4"/>
      <c r="K121" s="31"/>
      <c r="L121" s="32"/>
      <c r="M121" s="32"/>
      <c r="N121" s="33"/>
      <c r="O121" s="3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25"/>
      <c r="C122" s="25"/>
      <c r="D122" s="18" t="s">
        <v>15</v>
      </c>
      <c r="E122" s="22"/>
      <c r="F122" s="18" t="str">
        <f t="shared" si="1"/>
        <v/>
      </c>
      <c r="G122" s="23" t="str">
        <f>IFERROR(__xludf.DUMMYFUNCTION("IFERROR(IF(OR(B122="""", F122=""""), """", ROUND(VALUE(REGEXEXTRACT(TO_TEXT(B122), ""[0-9]*\.?[0-9]+"")) * F122, 0)), """")"),"")</f>
        <v/>
      </c>
      <c r="H122" s="4"/>
      <c r="I122" s="4"/>
      <c r="J122" s="4"/>
      <c r="K122" s="31"/>
      <c r="L122" s="32"/>
      <c r="M122" s="32"/>
      <c r="N122" s="33"/>
      <c r="O122" s="3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25"/>
      <c r="C123" s="25"/>
      <c r="D123" s="18" t="s">
        <v>15</v>
      </c>
      <c r="E123" s="22"/>
      <c r="F123" s="18" t="str">
        <f t="shared" si="1"/>
        <v/>
      </c>
      <c r="G123" s="23" t="str">
        <f>IFERROR(__xludf.DUMMYFUNCTION("IFERROR(IF(OR(B123="""", F123=""""), """", ROUND(VALUE(REGEXEXTRACT(TO_TEXT(B123), ""[0-9]*\.?[0-9]+"")) * F123, 0)), """")"),"")</f>
        <v/>
      </c>
      <c r="H123" s="4"/>
      <c r="I123" s="4"/>
      <c r="J123" s="4"/>
      <c r="K123" s="31"/>
      <c r="L123" s="32"/>
      <c r="M123" s="32"/>
      <c r="N123" s="33"/>
      <c r="O123" s="3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25"/>
      <c r="C124" s="25"/>
      <c r="D124" s="18" t="s">
        <v>15</v>
      </c>
      <c r="E124" s="22"/>
      <c r="F124" s="18" t="str">
        <f t="shared" si="1"/>
        <v/>
      </c>
      <c r="G124" s="23" t="str">
        <f>IFERROR(__xludf.DUMMYFUNCTION("IFERROR(IF(OR(B124="""", F124=""""), """", ROUND(VALUE(REGEXEXTRACT(TO_TEXT(B124), ""[0-9]*\.?[0-9]+"")) * F124, 0)), """")"),"")</f>
        <v/>
      </c>
      <c r="H124" s="4"/>
      <c r="I124" s="4"/>
      <c r="J124" s="4"/>
      <c r="K124" s="31"/>
      <c r="L124" s="32"/>
      <c r="M124" s="32"/>
      <c r="N124" s="33"/>
      <c r="O124" s="3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25"/>
      <c r="C125" s="25"/>
      <c r="D125" s="18" t="s">
        <v>15</v>
      </c>
      <c r="E125" s="22"/>
      <c r="F125" s="18" t="str">
        <f t="shared" si="1"/>
        <v/>
      </c>
      <c r="G125" s="23" t="str">
        <f>IFERROR(__xludf.DUMMYFUNCTION("IFERROR(IF(OR(B125="""", F125=""""), """", ROUND(VALUE(REGEXEXTRACT(TO_TEXT(B125), ""[0-9]*\.?[0-9]+"")) * F125, 0)), """")"),"")</f>
        <v/>
      </c>
      <c r="H125" s="4"/>
      <c r="I125" s="4"/>
      <c r="J125" s="4"/>
      <c r="K125" s="31"/>
      <c r="L125" s="32"/>
      <c r="M125" s="32"/>
      <c r="N125" s="33"/>
      <c r="O125" s="3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25"/>
      <c r="C126" s="25"/>
      <c r="D126" s="18" t="s">
        <v>15</v>
      </c>
      <c r="E126" s="22"/>
      <c r="F126" s="18" t="str">
        <f t="shared" si="1"/>
        <v/>
      </c>
      <c r="G126" s="23" t="str">
        <f>IFERROR(__xludf.DUMMYFUNCTION("IFERROR(IF(OR(B126="""", F126=""""), """", ROUND(VALUE(REGEXEXTRACT(TO_TEXT(B126), ""[0-9]*\.?[0-9]+"")) * F126, 0)), """")"),"")</f>
        <v/>
      </c>
      <c r="H126" s="4"/>
      <c r="I126" s="4"/>
      <c r="J126" s="4"/>
      <c r="K126" s="31"/>
      <c r="L126" s="32"/>
      <c r="M126" s="32"/>
      <c r="N126" s="33"/>
      <c r="O126" s="3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25"/>
      <c r="C127" s="25"/>
      <c r="D127" s="18" t="s">
        <v>15</v>
      </c>
      <c r="E127" s="22"/>
      <c r="F127" s="18" t="str">
        <f t="shared" si="1"/>
        <v/>
      </c>
      <c r="G127" s="23" t="str">
        <f>IFERROR(__xludf.DUMMYFUNCTION("IFERROR(IF(OR(B127="""", F127=""""), """", ROUND(VALUE(REGEXEXTRACT(TO_TEXT(B127), ""[0-9]*\.?[0-9]+"")) * F127, 0)), """")"),"")</f>
        <v/>
      </c>
      <c r="H127" s="4"/>
      <c r="I127" s="4"/>
      <c r="J127" s="4"/>
      <c r="K127" s="31"/>
      <c r="L127" s="32"/>
      <c r="M127" s="32"/>
      <c r="N127" s="33"/>
      <c r="O127" s="3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25"/>
      <c r="C128" s="25"/>
      <c r="D128" s="18" t="s">
        <v>15</v>
      </c>
      <c r="E128" s="22"/>
      <c r="F128" s="18" t="str">
        <f t="shared" si="1"/>
        <v/>
      </c>
      <c r="G128" s="23" t="str">
        <f>IFERROR(__xludf.DUMMYFUNCTION("IFERROR(IF(OR(B128="""", F128=""""), """", ROUND(VALUE(REGEXEXTRACT(TO_TEXT(B128), ""[0-9]*\.?[0-9]+"")) * F128, 0)), """")"),"")</f>
        <v/>
      </c>
      <c r="H128" s="4"/>
      <c r="I128" s="4"/>
      <c r="J128" s="4"/>
      <c r="K128" s="31"/>
      <c r="L128" s="32"/>
      <c r="M128" s="32"/>
      <c r="N128" s="33"/>
      <c r="O128" s="3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25"/>
      <c r="C129" s="25"/>
      <c r="D129" s="18" t="s">
        <v>15</v>
      </c>
      <c r="E129" s="22"/>
      <c r="F129" s="18" t="str">
        <f t="shared" si="1"/>
        <v/>
      </c>
      <c r="G129" s="23" t="str">
        <f>IFERROR(__xludf.DUMMYFUNCTION("IFERROR(IF(OR(B129="""", F129=""""), """", ROUND(VALUE(REGEXEXTRACT(TO_TEXT(B129), ""[0-9]*\.?[0-9]+"")) * F129, 0)), """")"),"")</f>
        <v/>
      </c>
      <c r="H129" s="4"/>
      <c r="I129" s="4"/>
      <c r="J129" s="4"/>
      <c r="K129" s="31"/>
      <c r="L129" s="32"/>
      <c r="M129" s="32"/>
      <c r="N129" s="33"/>
      <c r="O129" s="3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25"/>
      <c r="C130" s="25"/>
      <c r="D130" s="18" t="s">
        <v>15</v>
      </c>
      <c r="E130" s="22"/>
      <c r="F130" s="18" t="str">
        <f t="shared" si="1"/>
        <v/>
      </c>
      <c r="G130" s="23" t="str">
        <f>IFERROR(__xludf.DUMMYFUNCTION("IFERROR(IF(OR(B130="""", F130=""""), """", ROUND(VALUE(REGEXEXTRACT(TO_TEXT(B130), ""[0-9]*\.?[0-9]+"")) * F130, 0)), """")"),"")</f>
        <v/>
      </c>
      <c r="H130" s="4"/>
      <c r="I130" s="4"/>
      <c r="J130" s="4"/>
      <c r="K130" s="31"/>
      <c r="L130" s="32"/>
      <c r="M130" s="32"/>
      <c r="N130" s="33"/>
      <c r="O130" s="3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25"/>
      <c r="C131" s="25"/>
      <c r="D131" s="18" t="s">
        <v>15</v>
      </c>
      <c r="E131" s="22"/>
      <c r="F131" s="18" t="str">
        <f t="shared" si="1"/>
        <v/>
      </c>
      <c r="G131" s="23" t="str">
        <f>IFERROR(__xludf.DUMMYFUNCTION("IFERROR(IF(OR(B131="""", F131=""""), """", ROUND(VALUE(REGEXEXTRACT(TO_TEXT(B131), ""[0-9]*\.?[0-9]+"")) * F131, 0)), """")"),"")</f>
        <v/>
      </c>
      <c r="H131" s="4"/>
      <c r="I131" s="4"/>
      <c r="J131" s="4"/>
      <c r="K131" s="31"/>
      <c r="L131" s="32"/>
      <c r="M131" s="32"/>
      <c r="N131" s="33"/>
      <c r="O131" s="3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25"/>
      <c r="C132" s="4"/>
      <c r="D132" s="4" t="s">
        <v>15</v>
      </c>
      <c r="E132" s="4"/>
      <c r="F132" s="4"/>
      <c r="G132" s="4"/>
      <c r="H132" s="4"/>
      <c r="I132" s="4"/>
      <c r="J132" s="4"/>
      <c r="K132" s="31"/>
      <c r="L132" s="32"/>
      <c r="M132" s="32"/>
      <c r="N132" s="33"/>
      <c r="O132" s="3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25"/>
      <c r="C133" s="4"/>
      <c r="D133" s="4" t="s">
        <v>15</v>
      </c>
      <c r="E133" s="4"/>
      <c r="F133" s="4"/>
      <c r="G133" s="4"/>
      <c r="H133" s="4"/>
      <c r="I133" s="4"/>
      <c r="J133" s="4"/>
      <c r="K133" s="31"/>
      <c r="L133" s="32"/>
      <c r="M133" s="32"/>
      <c r="N133" s="33"/>
      <c r="O133" s="3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25"/>
      <c r="C134" s="4"/>
      <c r="D134" s="4" t="s">
        <v>15</v>
      </c>
      <c r="E134" s="4"/>
      <c r="F134" s="4"/>
      <c r="G134" s="4"/>
      <c r="H134" s="4"/>
      <c r="I134" s="4"/>
      <c r="J134" s="4"/>
      <c r="K134" s="31"/>
      <c r="L134" s="32"/>
      <c r="M134" s="32"/>
      <c r="N134" s="33"/>
      <c r="O134" s="3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25"/>
      <c r="C135" s="4"/>
      <c r="D135" s="4" t="s">
        <v>15</v>
      </c>
      <c r="E135" s="4"/>
      <c r="F135" s="4"/>
      <c r="G135" s="4"/>
      <c r="H135" s="4"/>
      <c r="I135" s="4"/>
      <c r="J135" s="4"/>
      <c r="K135" s="31"/>
      <c r="L135" s="32"/>
      <c r="M135" s="32"/>
      <c r="N135" s="33"/>
      <c r="O135" s="3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25"/>
      <c r="C136" s="4"/>
      <c r="D136" s="4" t="s">
        <v>15</v>
      </c>
      <c r="E136" s="4"/>
      <c r="F136" s="4"/>
      <c r="G136" s="4"/>
      <c r="H136" s="4"/>
      <c r="I136" s="4"/>
      <c r="J136" s="4"/>
      <c r="K136" s="31"/>
      <c r="L136" s="32"/>
      <c r="M136" s="32"/>
      <c r="N136" s="33"/>
      <c r="O136" s="3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25"/>
      <c r="C137" s="4"/>
      <c r="D137" s="4" t="s">
        <v>15</v>
      </c>
      <c r="E137" s="4"/>
      <c r="F137" s="4"/>
      <c r="G137" s="4"/>
      <c r="H137" s="4"/>
      <c r="I137" s="4"/>
      <c r="J137" s="4"/>
      <c r="K137" s="31"/>
      <c r="L137" s="32"/>
      <c r="M137" s="32"/>
      <c r="N137" s="33"/>
      <c r="O137" s="3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25"/>
      <c r="C138" s="4"/>
      <c r="D138" s="4" t="s">
        <v>15</v>
      </c>
      <c r="E138" s="4"/>
      <c r="F138" s="4"/>
      <c r="G138" s="4"/>
      <c r="H138" s="4"/>
      <c r="I138" s="4"/>
      <c r="J138" s="4"/>
      <c r="K138" s="31"/>
      <c r="L138" s="32"/>
      <c r="M138" s="32"/>
      <c r="N138" s="33"/>
      <c r="O138" s="3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25"/>
      <c r="C139" s="4"/>
      <c r="D139" s="4" t="s">
        <v>15</v>
      </c>
      <c r="E139" s="4"/>
      <c r="F139" s="4"/>
      <c r="G139" s="4"/>
      <c r="H139" s="4"/>
      <c r="I139" s="4"/>
      <c r="J139" s="4"/>
      <c r="K139" s="31"/>
      <c r="L139" s="32"/>
      <c r="M139" s="32"/>
      <c r="N139" s="33"/>
      <c r="O139" s="3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25"/>
      <c r="C140" s="4"/>
      <c r="D140" s="4" t="s">
        <v>15</v>
      </c>
      <c r="E140" s="4"/>
      <c r="F140" s="4"/>
      <c r="G140" s="4"/>
      <c r="H140" s="4"/>
      <c r="I140" s="4"/>
      <c r="J140" s="4"/>
      <c r="K140" s="31"/>
      <c r="L140" s="32"/>
      <c r="M140" s="32"/>
      <c r="N140" s="33"/>
      <c r="O140" s="3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25"/>
      <c r="C141" s="4"/>
      <c r="D141" s="4" t="s">
        <v>15</v>
      </c>
      <c r="E141" s="4"/>
      <c r="F141" s="4"/>
      <c r="G141" s="4"/>
      <c r="H141" s="4"/>
      <c r="I141" s="4"/>
      <c r="J141" s="4"/>
      <c r="K141" s="31"/>
      <c r="L141" s="32"/>
      <c r="M141" s="32"/>
      <c r="N141" s="33"/>
      <c r="O141" s="3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25"/>
      <c r="C142" s="4"/>
      <c r="D142" s="4" t="s">
        <v>15</v>
      </c>
      <c r="E142" s="4"/>
      <c r="F142" s="4"/>
      <c r="G142" s="4"/>
      <c r="H142" s="4"/>
      <c r="I142" s="4"/>
      <c r="J142" s="4"/>
      <c r="K142" s="31"/>
      <c r="L142" s="32"/>
      <c r="M142" s="32"/>
      <c r="N142" s="33"/>
      <c r="O142" s="3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25"/>
      <c r="C143" s="4"/>
      <c r="D143" s="4" t="s">
        <v>15</v>
      </c>
      <c r="E143" s="4"/>
      <c r="F143" s="4"/>
      <c r="G143" s="4"/>
      <c r="H143" s="4"/>
      <c r="I143" s="4"/>
      <c r="J143" s="4"/>
      <c r="K143" s="31"/>
      <c r="L143" s="32"/>
      <c r="M143" s="32"/>
      <c r="N143" s="33"/>
      <c r="O143" s="3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25"/>
      <c r="C144" s="4"/>
      <c r="D144" s="4" t="s">
        <v>15</v>
      </c>
      <c r="E144" s="4"/>
      <c r="F144" s="4"/>
      <c r="G144" s="4"/>
      <c r="H144" s="4"/>
      <c r="I144" s="4"/>
      <c r="J144" s="4"/>
      <c r="K144" s="31"/>
      <c r="L144" s="32"/>
      <c r="M144" s="32"/>
      <c r="N144" s="33"/>
      <c r="O144" s="3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25"/>
      <c r="C145" s="4"/>
      <c r="D145" s="4" t="s">
        <v>15</v>
      </c>
      <c r="E145" s="4"/>
      <c r="F145" s="4"/>
      <c r="G145" s="4"/>
      <c r="H145" s="4"/>
      <c r="I145" s="4"/>
      <c r="J145" s="4"/>
      <c r="K145" s="31"/>
      <c r="L145" s="32"/>
      <c r="M145" s="32"/>
      <c r="N145" s="33"/>
      <c r="O145" s="3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25"/>
      <c r="C146" s="4"/>
      <c r="D146" s="4" t="s">
        <v>15</v>
      </c>
      <c r="E146" s="4"/>
      <c r="F146" s="4"/>
      <c r="G146" s="4"/>
      <c r="H146" s="4"/>
      <c r="I146" s="4"/>
      <c r="J146" s="4"/>
      <c r="K146" s="31"/>
      <c r="L146" s="32"/>
      <c r="M146" s="32"/>
      <c r="N146" s="33"/>
      <c r="O146" s="3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25"/>
      <c r="C147" s="4"/>
      <c r="D147" s="4" t="s">
        <v>15</v>
      </c>
      <c r="E147" s="4"/>
      <c r="F147" s="4"/>
      <c r="G147" s="4"/>
      <c r="H147" s="4"/>
      <c r="I147" s="4"/>
      <c r="J147" s="4"/>
      <c r="K147" s="31"/>
      <c r="L147" s="32"/>
      <c r="M147" s="32"/>
      <c r="N147" s="33"/>
      <c r="O147" s="3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25"/>
      <c r="C148" s="4"/>
      <c r="D148" s="4" t="s">
        <v>15</v>
      </c>
      <c r="E148" s="4"/>
      <c r="F148" s="4"/>
      <c r="G148" s="4"/>
      <c r="H148" s="4"/>
      <c r="I148" s="4"/>
      <c r="J148" s="4"/>
      <c r="K148" s="31"/>
      <c r="L148" s="32"/>
      <c r="M148" s="32"/>
      <c r="N148" s="33"/>
      <c r="O148" s="3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25"/>
      <c r="C149" s="4"/>
      <c r="D149" s="4" t="s">
        <v>15</v>
      </c>
      <c r="E149" s="4"/>
      <c r="F149" s="4"/>
      <c r="G149" s="4"/>
      <c r="H149" s="4"/>
      <c r="I149" s="4"/>
      <c r="J149" s="4"/>
      <c r="K149" s="31"/>
      <c r="L149" s="32"/>
      <c r="M149" s="32"/>
      <c r="N149" s="33"/>
      <c r="O149" s="3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25"/>
      <c r="C150" s="4"/>
      <c r="D150" s="4" t="s">
        <v>15</v>
      </c>
      <c r="E150" s="4"/>
      <c r="F150" s="4"/>
      <c r="G150" s="4"/>
      <c r="H150" s="4"/>
      <c r="I150" s="4"/>
      <c r="J150" s="4"/>
      <c r="K150" s="31"/>
      <c r="L150" s="32"/>
      <c r="M150" s="32"/>
      <c r="N150" s="33"/>
      <c r="O150" s="3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25"/>
      <c r="C151" s="4"/>
      <c r="D151" s="4" t="s">
        <v>15</v>
      </c>
      <c r="E151" s="4"/>
      <c r="F151" s="4"/>
      <c r="G151" s="4"/>
      <c r="H151" s="4"/>
      <c r="I151" s="4"/>
      <c r="J151" s="4"/>
      <c r="K151" s="31"/>
      <c r="L151" s="32"/>
      <c r="M151" s="32"/>
      <c r="N151" s="33"/>
      <c r="O151" s="3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25"/>
      <c r="C152" s="4"/>
      <c r="D152" s="4" t="s">
        <v>15</v>
      </c>
      <c r="E152" s="4"/>
      <c r="F152" s="4"/>
      <c r="G152" s="4"/>
      <c r="H152" s="4"/>
      <c r="I152" s="4"/>
      <c r="J152" s="4"/>
      <c r="K152" s="31"/>
      <c r="L152" s="32"/>
      <c r="M152" s="32"/>
      <c r="N152" s="33"/>
      <c r="O152" s="3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25"/>
      <c r="C153" s="4"/>
      <c r="D153" s="4" t="s">
        <v>15</v>
      </c>
      <c r="E153" s="4"/>
      <c r="F153" s="4"/>
      <c r="G153" s="4"/>
      <c r="H153" s="4"/>
      <c r="I153" s="4"/>
      <c r="J153" s="4"/>
      <c r="K153" s="31"/>
      <c r="L153" s="32"/>
      <c r="M153" s="32"/>
      <c r="N153" s="33"/>
      <c r="O153" s="3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25"/>
      <c r="C154" s="4"/>
      <c r="D154" s="4" t="s">
        <v>15</v>
      </c>
      <c r="E154" s="4"/>
      <c r="F154" s="4"/>
      <c r="G154" s="4"/>
      <c r="H154" s="4"/>
      <c r="I154" s="4"/>
      <c r="J154" s="4"/>
      <c r="K154" s="31"/>
      <c r="L154" s="32"/>
      <c r="M154" s="32"/>
      <c r="N154" s="33"/>
      <c r="O154" s="3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25"/>
      <c r="C155" s="4"/>
      <c r="D155" s="4" t="s">
        <v>15</v>
      </c>
      <c r="E155" s="4"/>
      <c r="F155" s="4"/>
      <c r="G155" s="4"/>
      <c r="H155" s="4"/>
      <c r="I155" s="4"/>
      <c r="J155" s="4"/>
      <c r="K155" s="31"/>
      <c r="L155" s="32"/>
      <c r="M155" s="32"/>
      <c r="N155" s="33"/>
      <c r="O155" s="3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25"/>
      <c r="C156" s="4"/>
      <c r="D156" s="4" t="s">
        <v>15</v>
      </c>
      <c r="E156" s="4"/>
      <c r="F156" s="4"/>
      <c r="G156" s="4"/>
      <c r="H156" s="4"/>
      <c r="I156" s="4"/>
      <c r="J156" s="4"/>
      <c r="K156" s="31"/>
      <c r="L156" s="32"/>
      <c r="M156" s="32"/>
      <c r="N156" s="33"/>
      <c r="O156" s="3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25"/>
      <c r="C157" s="4"/>
      <c r="D157" s="4" t="s">
        <v>15</v>
      </c>
      <c r="E157" s="4"/>
      <c r="F157" s="4"/>
      <c r="G157" s="4"/>
      <c r="H157" s="4"/>
      <c r="I157" s="4"/>
      <c r="J157" s="4"/>
      <c r="K157" s="31"/>
      <c r="L157" s="32"/>
      <c r="M157" s="32"/>
      <c r="N157" s="33"/>
      <c r="O157" s="3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25"/>
      <c r="C158" s="4"/>
      <c r="D158" s="4" t="s">
        <v>15</v>
      </c>
      <c r="E158" s="4"/>
      <c r="F158" s="4"/>
      <c r="G158" s="4"/>
      <c r="H158" s="4"/>
      <c r="I158" s="4"/>
      <c r="J158" s="4"/>
      <c r="K158" s="31"/>
      <c r="L158" s="32"/>
      <c r="M158" s="32"/>
      <c r="N158" s="33"/>
      <c r="O158" s="3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25"/>
      <c r="C159" s="4"/>
      <c r="D159" s="4" t="s">
        <v>15</v>
      </c>
      <c r="E159" s="4"/>
      <c r="F159" s="4"/>
      <c r="G159" s="4"/>
      <c r="H159" s="4"/>
      <c r="I159" s="4"/>
      <c r="J159" s="4"/>
      <c r="K159" s="31"/>
      <c r="L159" s="32"/>
      <c r="M159" s="32"/>
      <c r="N159" s="33"/>
      <c r="O159" s="3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25"/>
      <c r="C160" s="4"/>
      <c r="D160" s="4" t="s">
        <v>15</v>
      </c>
      <c r="E160" s="4"/>
      <c r="F160" s="4"/>
      <c r="G160" s="4"/>
      <c r="H160" s="4"/>
      <c r="I160" s="4"/>
      <c r="J160" s="4"/>
      <c r="K160" s="31"/>
      <c r="L160" s="32"/>
      <c r="M160" s="32"/>
      <c r="N160" s="33"/>
      <c r="O160" s="3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25"/>
      <c r="C161" s="4"/>
      <c r="D161" s="4" t="s">
        <v>15</v>
      </c>
      <c r="E161" s="4"/>
      <c r="F161" s="4"/>
      <c r="G161" s="4"/>
      <c r="H161" s="4"/>
      <c r="I161" s="4"/>
      <c r="J161" s="4"/>
      <c r="K161" s="31"/>
      <c r="L161" s="32"/>
      <c r="M161" s="32"/>
      <c r="N161" s="33"/>
      <c r="O161" s="3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25"/>
      <c r="C162" s="4"/>
      <c r="D162" s="4" t="s">
        <v>15</v>
      </c>
      <c r="E162" s="4"/>
      <c r="F162" s="4"/>
      <c r="G162" s="4"/>
      <c r="H162" s="4"/>
      <c r="I162" s="4"/>
      <c r="J162" s="4"/>
      <c r="K162" s="31"/>
      <c r="L162" s="32"/>
      <c r="M162" s="32"/>
      <c r="N162" s="33"/>
      <c r="O162" s="3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25"/>
      <c r="C163" s="4"/>
      <c r="D163" s="4" t="s">
        <v>15</v>
      </c>
      <c r="E163" s="4"/>
      <c r="F163" s="4"/>
      <c r="G163" s="4"/>
      <c r="H163" s="4"/>
      <c r="I163" s="4"/>
      <c r="J163" s="4"/>
      <c r="K163" s="31"/>
      <c r="L163" s="32"/>
      <c r="M163" s="32"/>
      <c r="N163" s="33"/>
      <c r="O163" s="3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25"/>
      <c r="C164" s="4"/>
      <c r="D164" s="4" t="s">
        <v>15</v>
      </c>
      <c r="E164" s="4"/>
      <c r="F164" s="4"/>
      <c r="G164" s="4"/>
      <c r="H164" s="4"/>
      <c r="I164" s="4"/>
      <c r="J164" s="4"/>
      <c r="K164" s="31"/>
      <c r="L164" s="32"/>
      <c r="M164" s="32"/>
      <c r="N164" s="33"/>
      <c r="O164" s="3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25"/>
      <c r="C165" s="4"/>
      <c r="D165" s="4" t="s">
        <v>15</v>
      </c>
      <c r="E165" s="4"/>
      <c r="F165" s="4"/>
      <c r="G165" s="4"/>
      <c r="H165" s="4"/>
      <c r="I165" s="4"/>
      <c r="J165" s="4"/>
      <c r="K165" s="31"/>
      <c r="L165" s="32"/>
      <c r="M165" s="32"/>
      <c r="N165" s="33"/>
      <c r="O165" s="3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25"/>
      <c r="C166" s="4"/>
      <c r="D166" s="4" t="s">
        <v>15</v>
      </c>
      <c r="E166" s="4"/>
      <c r="F166" s="4"/>
      <c r="G166" s="4"/>
      <c r="H166" s="4"/>
      <c r="I166" s="4"/>
      <c r="J166" s="4"/>
      <c r="K166" s="31"/>
      <c r="L166" s="32"/>
      <c r="M166" s="32"/>
      <c r="N166" s="33"/>
      <c r="O166" s="3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25"/>
      <c r="C167" s="4"/>
      <c r="D167" s="4" t="s">
        <v>15</v>
      </c>
      <c r="E167" s="4"/>
      <c r="F167" s="4"/>
      <c r="G167" s="4"/>
      <c r="H167" s="4"/>
      <c r="I167" s="4"/>
      <c r="J167" s="4"/>
      <c r="K167" s="31"/>
      <c r="L167" s="32"/>
      <c r="M167" s="32"/>
      <c r="N167" s="33"/>
      <c r="O167" s="3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25"/>
      <c r="C168" s="4"/>
      <c r="D168" s="4" t="s">
        <v>15</v>
      </c>
      <c r="E168" s="4"/>
      <c r="F168" s="4"/>
      <c r="G168" s="4"/>
      <c r="H168" s="4"/>
      <c r="I168" s="4"/>
      <c r="J168" s="4"/>
      <c r="K168" s="31"/>
      <c r="L168" s="32"/>
      <c r="M168" s="32"/>
      <c r="N168" s="33"/>
      <c r="O168" s="3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25"/>
      <c r="C169" s="4"/>
      <c r="D169" s="4" t="s">
        <v>15</v>
      </c>
      <c r="E169" s="4"/>
      <c r="F169" s="4"/>
      <c r="G169" s="4"/>
      <c r="H169" s="4"/>
      <c r="I169" s="4"/>
      <c r="J169" s="4"/>
      <c r="K169" s="31"/>
      <c r="L169" s="32"/>
      <c r="M169" s="32"/>
      <c r="N169" s="33"/>
      <c r="O169" s="3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25"/>
      <c r="C170" s="4"/>
      <c r="D170" s="4" t="s">
        <v>15</v>
      </c>
      <c r="E170" s="4"/>
      <c r="F170" s="4"/>
      <c r="G170" s="4"/>
      <c r="H170" s="4"/>
      <c r="I170" s="4"/>
      <c r="J170" s="4"/>
      <c r="K170" s="31"/>
      <c r="L170" s="32"/>
      <c r="M170" s="32"/>
      <c r="N170" s="33"/>
      <c r="O170" s="3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25"/>
      <c r="C171" s="4"/>
      <c r="D171" s="4" t="s">
        <v>15</v>
      </c>
      <c r="E171" s="4"/>
      <c r="F171" s="4"/>
      <c r="G171" s="4"/>
      <c r="H171" s="4"/>
      <c r="I171" s="4"/>
      <c r="J171" s="4"/>
      <c r="K171" s="31"/>
      <c r="L171" s="32"/>
      <c r="M171" s="32"/>
      <c r="N171" s="33"/>
      <c r="O171" s="3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25"/>
      <c r="C172" s="4"/>
      <c r="D172" s="4" t="s">
        <v>15</v>
      </c>
      <c r="E172" s="4"/>
      <c r="F172" s="4"/>
      <c r="G172" s="4"/>
      <c r="H172" s="4"/>
      <c r="I172" s="4"/>
      <c r="J172" s="4"/>
      <c r="K172" s="31"/>
      <c r="L172" s="32"/>
      <c r="M172" s="32"/>
      <c r="N172" s="33"/>
      <c r="O172" s="3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25"/>
      <c r="C173" s="4"/>
      <c r="D173" s="4" t="s">
        <v>15</v>
      </c>
      <c r="E173" s="4"/>
      <c r="F173" s="4"/>
      <c r="G173" s="4"/>
      <c r="H173" s="4"/>
      <c r="I173" s="4"/>
      <c r="J173" s="4"/>
      <c r="K173" s="31"/>
      <c r="L173" s="32"/>
      <c r="M173" s="32"/>
      <c r="N173" s="33"/>
      <c r="O173" s="3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25"/>
      <c r="C174" s="4"/>
      <c r="D174" s="4" t="s">
        <v>15</v>
      </c>
      <c r="E174" s="4"/>
      <c r="F174" s="4"/>
      <c r="G174" s="4"/>
      <c r="H174" s="4"/>
      <c r="I174" s="4"/>
      <c r="J174" s="4"/>
      <c r="K174" s="31"/>
      <c r="L174" s="32"/>
      <c r="M174" s="32"/>
      <c r="N174" s="33"/>
      <c r="O174" s="3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25"/>
      <c r="C175" s="4"/>
      <c r="D175" s="4" t="s">
        <v>15</v>
      </c>
      <c r="E175" s="4"/>
      <c r="F175" s="4"/>
      <c r="G175" s="4"/>
      <c r="H175" s="4"/>
      <c r="I175" s="4"/>
      <c r="J175" s="4"/>
      <c r="K175" s="31"/>
      <c r="L175" s="32"/>
      <c r="M175" s="32"/>
      <c r="N175" s="33"/>
      <c r="O175" s="3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25"/>
      <c r="C176" s="4"/>
      <c r="D176" s="4" t="s">
        <v>15</v>
      </c>
      <c r="E176" s="4"/>
      <c r="F176" s="4"/>
      <c r="G176" s="4"/>
      <c r="H176" s="4"/>
      <c r="I176" s="4"/>
      <c r="J176" s="4"/>
      <c r="K176" s="31"/>
      <c r="L176" s="32"/>
      <c r="M176" s="32"/>
      <c r="N176" s="33"/>
      <c r="O176" s="3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25"/>
      <c r="C177" s="4"/>
      <c r="D177" s="4" t="s">
        <v>15</v>
      </c>
      <c r="E177" s="4"/>
      <c r="F177" s="4"/>
      <c r="G177" s="4"/>
      <c r="H177" s="4"/>
      <c r="I177" s="4"/>
      <c r="J177" s="4"/>
      <c r="K177" s="31"/>
      <c r="L177" s="32"/>
      <c r="M177" s="32"/>
      <c r="N177" s="33"/>
      <c r="O177" s="3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25"/>
      <c r="C178" s="4"/>
      <c r="D178" s="4" t="s">
        <v>15</v>
      </c>
      <c r="E178" s="4"/>
      <c r="F178" s="4"/>
      <c r="G178" s="4"/>
      <c r="H178" s="4"/>
      <c r="I178" s="4"/>
      <c r="J178" s="4"/>
      <c r="K178" s="31"/>
      <c r="L178" s="32"/>
      <c r="M178" s="32"/>
      <c r="N178" s="33"/>
      <c r="O178" s="3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25"/>
      <c r="C179" s="4"/>
      <c r="D179" s="4" t="s">
        <v>15</v>
      </c>
      <c r="E179" s="4"/>
      <c r="F179" s="4"/>
      <c r="G179" s="4"/>
      <c r="H179" s="4"/>
      <c r="I179" s="4"/>
      <c r="J179" s="4"/>
      <c r="K179" s="31"/>
      <c r="L179" s="32"/>
      <c r="M179" s="32"/>
      <c r="N179" s="33"/>
      <c r="O179" s="3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25"/>
      <c r="C180" s="4"/>
      <c r="D180" s="4" t="s">
        <v>15</v>
      </c>
      <c r="E180" s="4"/>
      <c r="F180" s="4"/>
      <c r="G180" s="4"/>
      <c r="H180" s="4"/>
      <c r="I180" s="4"/>
      <c r="J180" s="4"/>
      <c r="K180" s="31"/>
      <c r="L180" s="32"/>
      <c r="M180" s="32"/>
      <c r="N180" s="33"/>
      <c r="O180" s="3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25"/>
      <c r="C181" s="4"/>
      <c r="D181" s="4" t="s">
        <v>15</v>
      </c>
      <c r="E181" s="4"/>
      <c r="F181" s="4"/>
      <c r="G181" s="4"/>
      <c r="H181" s="4"/>
      <c r="I181" s="4"/>
      <c r="J181" s="4"/>
      <c r="K181" s="31"/>
      <c r="L181" s="32"/>
      <c r="M181" s="32"/>
      <c r="N181" s="33"/>
      <c r="O181" s="3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25"/>
      <c r="C182" s="4"/>
      <c r="D182" s="4" t="s">
        <v>15</v>
      </c>
      <c r="E182" s="4"/>
      <c r="F182" s="4"/>
      <c r="G182" s="4"/>
      <c r="H182" s="4"/>
      <c r="I182" s="4"/>
      <c r="J182" s="4"/>
      <c r="K182" s="31"/>
      <c r="L182" s="32"/>
      <c r="M182" s="32"/>
      <c r="N182" s="33"/>
      <c r="O182" s="3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25"/>
      <c r="C183" s="4"/>
      <c r="D183" s="4" t="s">
        <v>15</v>
      </c>
      <c r="E183" s="4"/>
      <c r="F183" s="4"/>
      <c r="G183" s="4"/>
      <c r="H183" s="4"/>
      <c r="I183" s="4"/>
      <c r="J183" s="4"/>
      <c r="K183" s="31"/>
      <c r="L183" s="32"/>
      <c r="M183" s="32"/>
      <c r="N183" s="33"/>
      <c r="O183" s="3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25"/>
      <c r="C184" s="4"/>
      <c r="D184" s="4" t="s">
        <v>15</v>
      </c>
      <c r="E184" s="4"/>
      <c r="F184" s="4"/>
      <c r="G184" s="4"/>
      <c r="H184" s="4"/>
      <c r="I184" s="4"/>
      <c r="J184" s="4"/>
      <c r="K184" s="31"/>
      <c r="L184" s="32"/>
      <c r="M184" s="32"/>
      <c r="N184" s="33"/>
      <c r="O184" s="3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25"/>
      <c r="C185" s="4"/>
      <c r="D185" s="4" t="s">
        <v>15</v>
      </c>
      <c r="E185" s="4"/>
      <c r="F185" s="4"/>
      <c r="G185" s="4"/>
      <c r="H185" s="4"/>
      <c r="I185" s="4"/>
      <c r="J185" s="4"/>
      <c r="K185" s="31"/>
      <c r="L185" s="32"/>
      <c r="M185" s="32"/>
      <c r="N185" s="33"/>
      <c r="O185" s="3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25"/>
      <c r="C186" s="4"/>
      <c r="D186" s="4" t="s">
        <v>15</v>
      </c>
      <c r="E186" s="4"/>
      <c r="F186" s="4"/>
      <c r="G186" s="4"/>
      <c r="H186" s="4"/>
      <c r="I186" s="4"/>
      <c r="J186" s="4"/>
      <c r="K186" s="31"/>
      <c r="L186" s="32"/>
      <c r="M186" s="32"/>
      <c r="N186" s="33"/>
      <c r="O186" s="3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25"/>
      <c r="C187" s="4"/>
      <c r="D187" s="4" t="s">
        <v>15</v>
      </c>
      <c r="E187" s="4"/>
      <c r="F187" s="4"/>
      <c r="G187" s="4"/>
      <c r="H187" s="4"/>
      <c r="I187" s="4"/>
      <c r="J187" s="4"/>
      <c r="K187" s="31"/>
      <c r="L187" s="32"/>
      <c r="M187" s="32"/>
      <c r="N187" s="33"/>
      <c r="O187" s="3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25"/>
      <c r="C188" s="4"/>
      <c r="D188" s="4" t="s">
        <v>15</v>
      </c>
      <c r="E188" s="4"/>
      <c r="F188" s="4"/>
      <c r="G188" s="4"/>
      <c r="H188" s="4"/>
      <c r="I188" s="4"/>
      <c r="J188" s="4"/>
      <c r="K188" s="31"/>
      <c r="L188" s="32"/>
      <c r="M188" s="32"/>
      <c r="N188" s="33"/>
      <c r="O188" s="3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25"/>
      <c r="C189" s="4"/>
      <c r="D189" s="4" t="s">
        <v>15</v>
      </c>
      <c r="E189" s="4"/>
      <c r="F189" s="4"/>
      <c r="G189" s="4"/>
      <c r="H189" s="4"/>
      <c r="I189" s="4"/>
      <c r="J189" s="4"/>
      <c r="K189" s="31"/>
      <c r="L189" s="32"/>
      <c r="M189" s="32"/>
      <c r="N189" s="33"/>
      <c r="O189" s="3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25"/>
      <c r="C190" s="4"/>
      <c r="D190" s="4" t="s">
        <v>15</v>
      </c>
      <c r="E190" s="4"/>
      <c r="F190" s="4"/>
      <c r="G190" s="4"/>
      <c r="H190" s="4"/>
      <c r="I190" s="4"/>
      <c r="J190" s="4"/>
      <c r="K190" s="31"/>
      <c r="L190" s="32"/>
      <c r="M190" s="32"/>
      <c r="N190" s="33"/>
      <c r="O190" s="3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25"/>
      <c r="C191" s="4"/>
      <c r="D191" s="4" t="s">
        <v>15</v>
      </c>
      <c r="E191" s="4"/>
      <c r="F191" s="4"/>
      <c r="G191" s="4"/>
      <c r="H191" s="4"/>
      <c r="I191" s="4"/>
      <c r="J191" s="4"/>
      <c r="K191" s="31"/>
      <c r="L191" s="32"/>
      <c r="M191" s="32"/>
      <c r="N191" s="33"/>
      <c r="O191" s="3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25"/>
      <c r="C192" s="4"/>
      <c r="D192" s="4" t="s">
        <v>15</v>
      </c>
      <c r="E192" s="4"/>
      <c r="F192" s="4"/>
      <c r="G192" s="4"/>
      <c r="H192" s="4"/>
      <c r="I192" s="4"/>
      <c r="J192" s="4"/>
      <c r="K192" s="31"/>
      <c r="L192" s="32"/>
      <c r="M192" s="32"/>
      <c r="N192" s="33"/>
      <c r="O192" s="3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25"/>
      <c r="C193" s="4"/>
      <c r="D193" s="4" t="s">
        <v>15</v>
      </c>
      <c r="E193" s="4"/>
      <c r="F193" s="4"/>
      <c r="G193" s="4"/>
      <c r="H193" s="4"/>
      <c r="I193" s="4"/>
      <c r="J193" s="4"/>
      <c r="K193" s="31"/>
      <c r="L193" s="32"/>
      <c r="M193" s="32"/>
      <c r="N193" s="33"/>
      <c r="O193" s="3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25"/>
      <c r="C194" s="4"/>
      <c r="D194" s="4" t="s">
        <v>15</v>
      </c>
      <c r="E194" s="4"/>
      <c r="F194" s="4"/>
      <c r="G194" s="4"/>
      <c r="H194" s="4"/>
      <c r="I194" s="4"/>
      <c r="J194" s="4"/>
      <c r="K194" s="31"/>
      <c r="L194" s="32"/>
      <c r="M194" s="32"/>
      <c r="N194" s="33"/>
      <c r="O194" s="3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25"/>
      <c r="C195" s="4"/>
      <c r="D195" s="4" t="s">
        <v>15</v>
      </c>
      <c r="E195" s="4"/>
      <c r="F195" s="4"/>
      <c r="G195" s="4"/>
      <c r="H195" s="4"/>
      <c r="I195" s="4"/>
      <c r="J195" s="4"/>
      <c r="K195" s="31"/>
      <c r="L195" s="32"/>
      <c r="M195" s="32"/>
      <c r="N195" s="33"/>
      <c r="O195" s="3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25"/>
      <c r="C196" s="4"/>
      <c r="D196" s="4" t="s">
        <v>15</v>
      </c>
      <c r="E196" s="4"/>
      <c r="F196" s="4"/>
      <c r="G196" s="4"/>
      <c r="H196" s="4"/>
      <c r="I196" s="4"/>
      <c r="J196" s="4"/>
      <c r="K196" s="31"/>
      <c r="L196" s="32"/>
      <c r="M196" s="32"/>
      <c r="N196" s="33"/>
      <c r="O196" s="3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25"/>
      <c r="C197" s="4"/>
      <c r="D197" s="4" t="s">
        <v>15</v>
      </c>
      <c r="E197" s="4"/>
      <c r="F197" s="4"/>
      <c r="G197" s="4"/>
      <c r="H197" s="4"/>
      <c r="I197" s="4"/>
      <c r="J197" s="4"/>
      <c r="K197" s="31"/>
      <c r="L197" s="32"/>
      <c r="M197" s="32"/>
      <c r="N197" s="33"/>
      <c r="O197" s="3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25"/>
      <c r="C198" s="4"/>
      <c r="D198" s="4" t="s">
        <v>15</v>
      </c>
      <c r="E198" s="4"/>
      <c r="F198" s="4"/>
      <c r="G198" s="4"/>
      <c r="H198" s="4"/>
      <c r="I198" s="4"/>
      <c r="J198" s="4"/>
      <c r="K198" s="31"/>
      <c r="L198" s="32"/>
      <c r="M198" s="32"/>
      <c r="N198" s="33"/>
      <c r="O198" s="3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25"/>
      <c r="C199" s="4"/>
      <c r="D199" s="4" t="s">
        <v>15</v>
      </c>
      <c r="E199" s="4"/>
      <c r="F199" s="4"/>
      <c r="G199" s="4"/>
      <c r="H199" s="4"/>
      <c r="I199" s="4"/>
      <c r="J199" s="4"/>
      <c r="K199" s="31"/>
      <c r="L199" s="32"/>
      <c r="M199" s="32"/>
      <c r="N199" s="33"/>
      <c r="O199" s="3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25"/>
      <c r="C200" s="4"/>
      <c r="D200" s="4" t="s">
        <v>15</v>
      </c>
      <c r="E200" s="4"/>
      <c r="F200" s="4"/>
      <c r="G200" s="4"/>
      <c r="H200" s="4"/>
      <c r="I200" s="4"/>
      <c r="J200" s="4"/>
      <c r="K200" s="31"/>
      <c r="L200" s="32"/>
      <c r="M200" s="32"/>
      <c r="N200" s="33"/>
      <c r="O200" s="3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25"/>
      <c r="C201" s="4"/>
      <c r="D201" s="4" t="s">
        <v>15</v>
      </c>
      <c r="E201" s="4"/>
      <c r="F201" s="4"/>
      <c r="G201" s="4"/>
      <c r="H201" s="4"/>
      <c r="I201" s="4"/>
      <c r="J201" s="4"/>
      <c r="K201" s="31"/>
      <c r="L201" s="32"/>
      <c r="M201" s="32"/>
      <c r="N201" s="33"/>
      <c r="O201" s="3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25"/>
      <c r="C202" s="4"/>
      <c r="D202" s="4" t="s">
        <v>15</v>
      </c>
      <c r="E202" s="4"/>
      <c r="F202" s="4"/>
      <c r="G202" s="4"/>
      <c r="H202" s="4"/>
      <c r="I202" s="4"/>
      <c r="J202" s="4"/>
      <c r="K202" s="31"/>
      <c r="L202" s="32"/>
      <c r="M202" s="32"/>
      <c r="N202" s="33"/>
      <c r="O202" s="3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25"/>
      <c r="C203" s="4"/>
      <c r="D203" s="4" t="s">
        <v>15</v>
      </c>
      <c r="E203" s="4"/>
      <c r="F203" s="4"/>
      <c r="G203" s="4"/>
      <c r="H203" s="4"/>
      <c r="I203" s="4"/>
      <c r="J203" s="4"/>
      <c r="N203" s="34"/>
      <c r="O203" s="3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25"/>
      <c r="C204" s="4"/>
      <c r="D204" s="4" t="s">
        <v>15</v>
      </c>
      <c r="E204" s="4"/>
      <c r="F204" s="4"/>
      <c r="G204" s="4"/>
      <c r="H204" s="4"/>
      <c r="I204" s="4"/>
      <c r="J204" s="4"/>
      <c r="N204" s="34"/>
      <c r="O204" s="3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25"/>
      <c r="C205" s="4"/>
      <c r="D205" s="4" t="s">
        <v>15</v>
      </c>
      <c r="E205" s="4"/>
      <c r="F205" s="4"/>
      <c r="G205" s="4"/>
      <c r="H205" s="4"/>
      <c r="I205" s="4"/>
      <c r="J205" s="4"/>
      <c r="N205" s="34"/>
      <c r="O205" s="3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25"/>
      <c r="C206" s="4"/>
      <c r="D206" s="4" t="s">
        <v>15</v>
      </c>
      <c r="E206" s="4"/>
      <c r="F206" s="4"/>
      <c r="G206" s="4"/>
      <c r="H206" s="4"/>
      <c r="I206" s="4"/>
      <c r="J206" s="4"/>
      <c r="N206" s="34"/>
      <c r="O206" s="3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25"/>
      <c r="C207" s="4"/>
      <c r="D207" s="4" t="s">
        <v>15</v>
      </c>
      <c r="E207" s="4"/>
      <c r="F207" s="4"/>
      <c r="G207" s="4"/>
      <c r="H207" s="4"/>
      <c r="I207" s="4"/>
      <c r="J207" s="4"/>
      <c r="N207" s="34"/>
      <c r="O207" s="3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25"/>
      <c r="C208" s="4"/>
      <c r="D208" s="4" t="s">
        <v>15</v>
      </c>
      <c r="E208" s="4"/>
      <c r="F208" s="4"/>
      <c r="G208" s="4"/>
      <c r="H208" s="4"/>
      <c r="I208" s="4"/>
      <c r="J208" s="4"/>
      <c r="N208" s="34"/>
      <c r="O208" s="3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25"/>
      <c r="C209" s="4"/>
      <c r="D209" s="4" t="s">
        <v>15</v>
      </c>
      <c r="E209" s="4"/>
      <c r="F209" s="4"/>
      <c r="G209" s="4"/>
      <c r="H209" s="4"/>
      <c r="I209" s="4"/>
      <c r="J209" s="4"/>
      <c r="N209" s="34"/>
      <c r="O209" s="3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25"/>
      <c r="C210" s="4"/>
      <c r="D210" s="4" t="s">
        <v>15</v>
      </c>
      <c r="E210" s="4"/>
      <c r="F210" s="4"/>
      <c r="G210" s="4"/>
      <c r="H210" s="4"/>
      <c r="I210" s="4"/>
      <c r="J210" s="4"/>
      <c r="N210" s="34"/>
      <c r="O210" s="3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25"/>
      <c r="C211" s="4"/>
      <c r="D211" s="4" t="s">
        <v>15</v>
      </c>
      <c r="E211" s="4"/>
      <c r="F211" s="4"/>
      <c r="G211" s="4"/>
      <c r="H211" s="4"/>
      <c r="I211" s="4"/>
      <c r="J211" s="4"/>
      <c r="N211" s="34"/>
      <c r="O211" s="3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25"/>
      <c r="C212" s="4"/>
      <c r="D212" s="4" t="s">
        <v>15</v>
      </c>
      <c r="E212" s="4"/>
      <c r="F212" s="4"/>
      <c r="G212" s="4"/>
      <c r="H212" s="4"/>
      <c r="I212" s="4"/>
      <c r="J212" s="4"/>
      <c r="N212" s="34"/>
      <c r="O212" s="3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25"/>
      <c r="C213" s="4"/>
      <c r="D213" s="4" t="s">
        <v>15</v>
      </c>
      <c r="E213" s="4"/>
      <c r="F213" s="4"/>
      <c r="G213" s="4"/>
      <c r="H213" s="4"/>
      <c r="I213" s="4"/>
      <c r="J213" s="4"/>
      <c r="N213" s="34"/>
      <c r="O213" s="3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25"/>
      <c r="C214" s="4"/>
      <c r="D214" s="4" t="s">
        <v>15</v>
      </c>
      <c r="E214" s="4"/>
      <c r="F214" s="4"/>
      <c r="G214" s="4"/>
      <c r="H214" s="4"/>
      <c r="I214" s="4"/>
      <c r="J214" s="4"/>
      <c r="N214" s="34"/>
      <c r="O214" s="3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25"/>
      <c r="C215" s="4"/>
      <c r="D215" s="4" t="s">
        <v>15</v>
      </c>
      <c r="E215" s="4"/>
      <c r="F215" s="4"/>
      <c r="G215" s="4"/>
      <c r="H215" s="4"/>
      <c r="I215" s="4"/>
      <c r="J215" s="4"/>
      <c r="N215" s="34"/>
      <c r="O215" s="3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25"/>
      <c r="C216" s="4"/>
      <c r="D216" s="4" t="s">
        <v>15</v>
      </c>
      <c r="E216" s="4"/>
      <c r="F216" s="4"/>
      <c r="G216" s="4"/>
      <c r="H216" s="4"/>
      <c r="I216" s="4"/>
      <c r="J216" s="4"/>
      <c r="N216" s="34"/>
      <c r="O216" s="3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25"/>
      <c r="C217" s="4"/>
      <c r="D217" s="4" t="s">
        <v>15</v>
      </c>
      <c r="E217" s="4"/>
      <c r="F217" s="4"/>
      <c r="G217" s="4"/>
      <c r="H217" s="4"/>
      <c r="I217" s="4"/>
      <c r="J217" s="4"/>
      <c r="N217" s="34"/>
      <c r="O217" s="3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25"/>
      <c r="C218" s="4"/>
      <c r="D218" s="4" t="s">
        <v>15</v>
      </c>
      <c r="E218" s="4"/>
      <c r="F218" s="4"/>
      <c r="G218" s="4"/>
      <c r="H218" s="4"/>
      <c r="I218" s="4"/>
      <c r="J218" s="4"/>
      <c r="N218" s="34"/>
      <c r="O218" s="3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25"/>
      <c r="C219" s="4"/>
      <c r="D219" s="4" t="s">
        <v>15</v>
      </c>
      <c r="E219" s="4"/>
      <c r="F219" s="4"/>
      <c r="G219" s="4"/>
      <c r="H219" s="4"/>
      <c r="I219" s="4"/>
      <c r="J219" s="4"/>
      <c r="N219" s="34"/>
      <c r="O219" s="3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25"/>
      <c r="C220" s="4"/>
      <c r="D220" s="4" t="s">
        <v>15</v>
      </c>
      <c r="E220" s="4"/>
      <c r="F220" s="4"/>
      <c r="G220" s="4"/>
      <c r="H220" s="4"/>
      <c r="I220" s="4"/>
      <c r="J220" s="4"/>
      <c r="N220" s="34"/>
      <c r="O220" s="3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25"/>
      <c r="C221" s="4"/>
      <c r="D221" s="4" t="s">
        <v>15</v>
      </c>
      <c r="E221" s="4"/>
      <c r="F221" s="4"/>
      <c r="G221" s="4"/>
      <c r="H221" s="4"/>
      <c r="I221" s="4"/>
      <c r="J221" s="4"/>
      <c r="N221" s="34"/>
      <c r="O221" s="3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25"/>
      <c r="C222" s="4"/>
      <c r="D222" s="4" t="s">
        <v>15</v>
      </c>
      <c r="E222" s="4"/>
      <c r="F222" s="4"/>
      <c r="G222" s="4"/>
      <c r="H222" s="4"/>
      <c r="I222" s="4"/>
      <c r="J222" s="4"/>
      <c r="N222" s="34"/>
      <c r="O222" s="3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25"/>
      <c r="C223" s="4"/>
      <c r="D223" s="4" t="s">
        <v>15</v>
      </c>
      <c r="E223" s="4"/>
      <c r="F223" s="4"/>
      <c r="G223" s="4"/>
      <c r="H223" s="4"/>
      <c r="I223" s="4"/>
      <c r="J223" s="4"/>
      <c r="N223" s="34"/>
      <c r="O223" s="3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25"/>
      <c r="C224" s="4"/>
      <c r="D224" s="4" t="s">
        <v>15</v>
      </c>
      <c r="E224" s="4"/>
      <c r="F224" s="4"/>
      <c r="G224" s="4"/>
      <c r="H224" s="4"/>
      <c r="I224" s="4"/>
      <c r="J224" s="4"/>
      <c r="N224" s="34"/>
      <c r="O224" s="3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25"/>
      <c r="C225" s="4"/>
      <c r="D225" s="4" t="s">
        <v>15</v>
      </c>
      <c r="E225" s="4"/>
      <c r="F225" s="4"/>
      <c r="G225" s="4"/>
      <c r="H225" s="4"/>
      <c r="I225" s="4"/>
      <c r="J225" s="4"/>
      <c r="N225" s="34"/>
      <c r="O225" s="3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25"/>
      <c r="C226" s="4"/>
      <c r="D226" s="4" t="s">
        <v>15</v>
      </c>
      <c r="E226" s="4"/>
      <c r="F226" s="4"/>
      <c r="G226" s="4"/>
      <c r="H226" s="4"/>
      <c r="I226" s="4"/>
      <c r="J226" s="4"/>
      <c r="N226" s="34"/>
      <c r="O226" s="3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25"/>
      <c r="C227" s="4"/>
      <c r="D227" s="4" t="s">
        <v>15</v>
      </c>
      <c r="E227" s="4"/>
      <c r="F227" s="4"/>
      <c r="G227" s="4"/>
      <c r="H227" s="4"/>
      <c r="I227" s="4"/>
      <c r="J227" s="4"/>
      <c r="N227" s="34"/>
      <c r="O227" s="3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25"/>
      <c r="C228" s="4"/>
      <c r="D228" s="4" t="s">
        <v>15</v>
      </c>
      <c r="E228" s="4"/>
      <c r="F228" s="4"/>
      <c r="G228" s="4"/>
      <c r="H228" s="4"/>
      <c r="I228" s="4"/>
      <c r="J228" s="4"/>
      <c r="N228" s="34"/>
      <c r="O228" s="3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25"/>
      <c r="C229" s="4"/>
      <c r="D229" s="4" t="s">
        <v>15</v>
      </c>
      <c r="E229" s="4"/>
      <c r="F229" s="4"/>
      <c r="G229" s="4"/>
      <c r="H229" s="4"/>
      <c r="I229" s="4"/>
      <c r="J229" s="4"/>
      <c r="N229" s="34"/>
      <c r="O229" s="3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25"/>
      <c r="C230" s="4"/>
      <c r="D230" s="4" t="s">
        <v>15</v>
      </c>
      <c r="E230" s="4"/>
      <c r="F230" s="4"/>
      <c r="G230" s="4"/>
      <c r="H230" s="4"/>
      <c r="I230" s="4"/>
      <c r="J230" s="4"/>
      <c r="N230" s="34"/>
      <c r="O230" s="3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25"/>
      <c r="C231" s="4"/>
      <c r="D231" s="4" t="s">
        <v>15</v>
      </c>
      <c r="E231" s="4"/>
      <c r="F231" s="4"/>
      <c r="G231" s="4"/>
      <c r="H231" s="4"/>
      <c r="I231" s="4"/>
      <c r="J231" s="4"/>
      <c r="N231" s="34"/>
      <c r="O231" s="3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25"/>
      <c r="C232" s="4"/>
      <c r="D232" s="4" t="s">
        <v>15</v>
      </c>
      <c r="E232" s="4"/>
      <c r="F232" s="4"/>
      <c r="G232" s="4"/>
      <c r="H232" s="4"/>
      <c r="I232" s="4"/>
      <c r="J232" s="4"/>
      <c r="N232" s="34"/>
      <c r="O232" s="3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25"/>
      <c r="C233" s="4"/>
      <c r="D233" s="4" t="s">
        <v>15</v>
      </c>
      <c r="E233" s="4"/>
      <c r="F233" s="4"/>
      <c r="G233" s="4"/>
      <c r="H233" s="4"/>
      <c r="I233" s="4"/>
      <c r="J233" s="4"/>
      <c r="N233" s="34"/>
      <c r="O233" s="3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25"/>
      <c r="C234" s="4"/>
      <c r="D234" s="4" t="s">
        <v>15</v>
      </c>
      <c r="E234" s="4"/>
      <c r="F234" s="4"/>
      <c r="G234" s="4"/>
      <c r="H234" s="4"/>
      <c r="I234" s="4"/>
      <c r="J234" s="4"/>
      <c r="N234" s="34"/>
      <c r="O234" s="3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25"/>
      <c r="C235" s="4"/>
      <c r="D235" s="4" t="s">
        <v>15</v>
      </c>
      <c r="E235" s="4"/>
      <c r="F235" s="4"/>
      <c r="G235" s="4"/>
      <c r="H235" s="4"/>
      <c r="I235" s="4"/>
      <c r="J235" s="4"/>
      <c r="N235" s="34"/>
      <c r="O235" s="3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25"/>
      <c r="C236" s="4"/>
      <c r="D236" s="4" t="s">
        <v>15</v>
      </c>
      <c r="E236" s="4"/>
      <c r="F236" s="4"/>
      <c r="G236" s="4"/>
      <c r="H236" s="4"/>
      <c r="I236" s="4"/>
      <c r="J236" s="4"/>
      <c r="N236" s="34"/>
      <c r="O236" s="3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25"/>
      <c r="C237" s="4"/>
      <c r="D237" s="4" t="s">
        <v>15</v>
      </c>
      <c r="E237" s="4"/>
      <c r="F237" s="4"/>
      <c r="G237" s="4"/>
      <c r="H237" s="4"/>
      <c r="I237" s="4"/>
      <c r="J237" s="4"/>
      <c r="N237" s="34"/>
      <c r="O237" s="3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25"/>
      <c r="C238" s="4"/>
      <c r="D238" s="4" t="s">
        <v>15</v>
      </c>
      <c r="E238" s="4"/>
      <c r="F238" s="4"/>
      <c r="G238" s="4"/>
      <c r="H238" s="4"/>
      <c r="I238" s="4"/>
      <c r="J238" s="4"/>
      <c r="N238" s="34"/>
      <c r="O238" s="3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25"/>
      <c r="C239" s="4"/>
      <c r="D239" s="4" t="s">
        <v>15</v>
      </c>
      <c r="E239" s="4"/>
      <c r="F239" s="4"/>
      <c r="G239" s="4"/>
      <c r="H239" s="4"/>
      <c r="I239" s="4"/>
      <c r="J239" s="4"/>
      <c r="N239" s="34"/>
      <c r="O239" s="3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25"/>
      <c r="C240" s="4"/>
      <c r="D240" s="4" t="s">
        <v>15</v>
      </c>
      <c r="E240" s="4"/>
      <c r="F240" s="4"/>
      <c r="G240" s="4"/>
      <c r="H240" s="4"/>
      <c r="I240" s="4"/>
      <c r="J240" s="4"/>
      <c r="N240" s="34"/>
      <c r="O240" s="3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25"/>
      <c r="C241" s="4"/>
      <c r="D241" s="4" t="s">
        <v>15</v>
      </c>
      <c r="E241" s="4"/>
      <c r="F241" s="4"/>
      <c r="G241" s="4"/>
      <c r="H241" s="4"/>
      <c r="I241" s="4"/>
      <c r="J241" s="4"/>
      <c r="N241" s="34"/>
      <c r="O241" s="3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25"/>
      <c r="C242" s="4"/>
      <c r="D242" s="4" t="s">
        <v>15</v>
      </c>
      <c r="E242" s="4"/>
      <c r="F242" s="4"/>
      <c r="G242" s="4"/>
      <c r="H242" s="4"/>
      <c r="I242" s="4"/>
      <c r="J242" s="4"/>
      <c r="N242" s="34"/>
      <c r="O242" s="3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25"/>
      <c r="C243" s="4"/>
      <c r="D243" s="4" t="s">
        <v>15</v>
      </c>
      <c r="E243" s="4"/>
      <c r="F243" s="4"/>
      <c r="G243" s="4"/>
      <c r="H243" s="4"/>
      <c r="I243" s="4"/>
      <c r="J243" s="4"/>
      <c r="N243" s="34"/>
      <c r="O243" s="3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25"/>
      <c r="C244" s="4"/>
      <c r="D244" s="4" t="s">
        <v>15</v>
      </c>
      <c r="E244" s="4"/>
      <c r="F244" s="4"/>
      <c r="G244" s="4"/>
      <c r="H244" s="4"/>
      <c r="I244" s="4"/>
      <c r="J244" s="4"/>
      <c r="N244" s="34"/>
      <c r="O244" s="3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25"/>
      <c r="C245" s="4"/>
      <c r="D245" s="4" t="s">
        <v>15</v>
      </c>
      <c r="E245" s="4"/>
      <c r="F245" s="4"/>
      <c r="G245" s="4"/>
      <c r="H245" s="4"/>
      <c r="I245" s="4"/>
      <c r="J245" s="4"/>
      <c r="N245" s="34"/>
      <c r="O245" s="3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25"/>
      <c r="C246" s="4"/>
      <c r="D246" s="4" t="s">
        <v>15</v>
      </c>
      <c r="E246" s="4"/>
      <c r="F246" s="4"/>
      <c r="G246" s="4"/>
      <c r="H246" s="4"/>
      <c r="I246" s="4"/>
      <c r="J246" s="4"/>
      <c r="N246" s="34"/>
      <c r="O246" s="3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25"/>
      <c r="C247" s="4"/>
      <c r="D247" s="4" t="s">
        <v>15</v>
      </c>
      <c r="E247" s="4"/>
      <c r="F247" s="4"/>
      <c r="G247" s="4"/>
      <c r="H247" s="4"/>
      <c r="I247" s="4"/>
      <c r="J247" s="4"/>
      <c r="N247" s="34"/>
      <c r="O247" s="3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25"/>
      <c r="C248" s="4"/>
      <c r="D248" s="4" t="s">
        <v>15</v>
      </c>
      <c r="E248" s="4"/>
      <c r="F248" s="4"/>
      <c r="G248" s="4"/>
      <c r="H248" s="4"/>
      <c r="I248" s="4"/>
      <c r="J248" s="4"/>
      <c r="N248" s="34"/>
      <c r="O248" s="3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25"/>
      <c r="C249" s="4"/>
      <c r="D249" s="4" t="s">
        <v>15</v>
      </c>
      <c r="E249" s="4"/>
      <c r="F249" s="4"/>
      <c r="G249" s="4"/>
      <c r="H249" s="4"/>
      <c r="I249" s="4"/>
      <c r="J249" s="4"/>
      <c r="N249" s="34"/>
      <c r="O249" s="3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25"/>
      <c r="C250" s="4"/>
      <c r="D250" s="4" t="s">
        <v>15</v>
      </c>
      <c r="E250" s="4"/>
      <c r="F250" s="4"/>
      <c r="G250" s="4"/>
      <c r="H250" s="4"/>
      <c r="I250" s="4"/>
      <c r="J250" s="4"/>
      <c r="N250" s="34"/>
      <c r="O250" s="3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25"/>
      <c r="C251" s="4"/>
      <c r="D251" s="4" t="s">
        <v>15</v>
      </c>
      <c r="E251" s="4"/>
      <c r="F251" s="4"/>
      <c r="G251" s="4"/>
      <c r="H251" s="4"/>
      <c r="I251" s="4"/>
      <c r="J251" s="4"/>
      <c r="N251" s="34"/>
      <c r="O251" s="3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25"/>
      <c r="C252" s="4"/>
      <c r="D252" s="4" t="s">
        <v>15</v>
      </c>
      <c r="E252" s="4"/>
      <c r="F252" s="4"/>
      <c r="G252" s="4"/>
      <c r="H252" s="4"/>
      <c r="I252" s="4"/>
      <c r="J252" s="4"/>
      <c r="N252" s="34"/>
      <c r="O252" s="3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25"/>
      <c r="C253" s="4"/>
      <c r="D253" s="4" t="s">
        <v>15</v>
      </c>
      <c r="E253" s="4"/>
      <c r="F253" s="4"/>
      <c r="G253" s="4"/>
      <c r="H253" s="4"/>
      <c r="I253" s="4"/>
      <c r="J253" s="4"/>
      <c r="N253" s="34"/>
      <c r="O253" s="3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25"/>
      <c r="C254" s="4"/>
      <c r="D254" s="4" t="s">
        <v>15</v>
      </c>
      <c r="E254" s="4"/>
      <c r="F254" s="4"/>
      <c r="G254" s="4"/>
      <c r="H254" s="4"/>
      <c r="I254" s="4"/>
      <c r="J254" s="4"/>
      <c r="N254" s="34"/>
      <c r="O254" s="3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25"/>
      <c r="C255" s="4"/>
      <c r="D255" s="4" t="s">
        <v>15</v>
      </c>
      <c r="E255" s="4"/>
      <c r="F255" s="4"/>
      <c r="G255" s="4"/>
      <c r="H255" s="4"/>
      <c r="I255" s="4"/>
      <c r="J255" s="4"/>
      <c r="N255" s="34"/>
      <c r="O255" s="3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25"/>
      <c r="C256" s="4"/>
      <c r="D256" s="4" t="s">
        <v>15</v>
      </c>
      <c r="E256" s="4"/>
      <c r="F256" s="4"/>
      <c r="G256" s="4"/>
      <c r="H256" s="4"/>
      <c r="I256" s="4"/>
      <c r="J256" s="4"/>
      <c r="N256" s="34"/>
      <c r="O256" s="3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25"/>
      <c r="C257" s="4"/>
      <c r="D257" s="4" t="s">
        <v>15</v>
      </c>
      <c r="E257" s="4"/>
      <c r="F257" s="4"/>
      <c r="G257" s="4"/>
      <c r="H257" s="4"/>
      <c r="I257" s="4"/>
      <c r="J257" s="4"/>
      <c r="N257" s="34"/>
      <c r="O257" s="3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25"/>
      <c r="C258" s="4"/>
      <c r="D258" s="4" t="s">
        <v>15</v>
      </c>
      <c r="E258" s="4"/>
      <c r="F258" s="4"/>
      <c r="G258" s="4"/>
      <c r="H258" s="4"/>
      <c r="I258" s="4"/>
      <c r="J258" s="4"/>
      <c r="N258" s="34"/>
      <c r="O258" s="3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25"/>
      <c r="C259" s="4"/>
      <c r="D259" s="4" t="s">
        <v>15</v>
      </c>
      <c r="E259" s="4"/>
      <c r="F259" s="4"/>
      <c r="G259" s="4"/>
      <c r="H259" s="4"/>
      <c r="I259" s="4"/>
      <c r="J259" s="4"/>
      <c r="N259" s="34"/>
      <c r="O259" s="3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25"/>
      <c r="C260" s="4"/>
      <c r="D260" s="4" t="s">
        <v>15</v>
      </c>
      <c r="E260" s="4"/>
      <c r="F260" s="4"/>
      <c r="G260" s="4"/>
      <c r="H260" s="4"/>
      <c r="I260" s="4"/>
      <c r="J260" s="4"/>
      <c r="N260" s="34"/>
      <c r="O260" s="3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25"/>
      <c r="C261" s="4"/>
      <c r="D261" s="4" t="s">
        <v>15</v>
      </c>
      <c r="E261" s="4"/>
      <c r="F261" s="4"/>
      <c r="G261" s="4"/>
      <c r="H261" s="4"/>
      <c r="I261" s="4"/>
      <c r="J261" s="4"/>
      <c r="N261" s="34"/>
      <c r="O261" s="3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25"/>
      <c r="C262" s="4"/>
      <c r="D262" s="4" t="s">
        <v>15</v>
      </c>
      <c r="E262" s="4"/>
      <c r="F262" s="4"/>
      <c r="G262" s="4"/>
      <c r="H262" s="4"/>
      <c r="I262" s="4"/>
      <c r="J262" s="4"/>
      <c r="N262" s="34"/>
      <c r="O262" s="3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25"/>
      <c r="C263" s="4"/>
      <c r="D263" s="4" t="s">
        <v>15</v>
      </c>
      <c r="E263" s="4"/>
      <c r="F263" s="4"/>
      <c r="G263" s="4"/>
      <c r="H263" s="4"/>
      <c r="I263" s="4"/>
      <c r="J263" s="4"/>
      <c r="N263" s="34"/>
      <c r="O263" s="3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25"/>
      <c r="C264" s="4"/>
      <c r="D264" s="4" t="s">
        <v>15</v>
      </c>
      <c r="E264" s="4"/>
      <c r="F264" s="4"/>
      <c r="G264" s="4"/>
      <c r="H264" s="4"/>
      <c r="I264" s="4"/>
      <c r="J264" s="4"/>
      <c r="N264" s="34"/>
      <c r="O264" s="3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25"/>
      <c r="C265" s="4"/>
      <c r="D265" s="4" t="s">
        <v>15</v>
      </c>
      <c r="E265" s="4"/>
      <c r="F265" s="4"/>
      <c r="G265" s="4"/>
      <c r="H265" s="4"/>
      <c r="I265" s="4"/>
      <c r="J265" s="4"/>
      <c r="N265" s="34"/>
      <c r="O265" s="3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25"/>
      <c r="C266" s="4"/>
      <c r="D266" s="4" t="s">
        <v>15</v>
      </c>
      <c r="E266" s="4"/>
      <c r="F266" s="4"/>
      <c r="G266" s="4"/>
      <c r="H266" s="4"/>
      <c r="I266" s="4"/>
      <c r="J266" s="4"/>
      <c r="N266" s="34"/>
      <c r="O266" s="3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25"/>
      <c r="C267" s="4"/>
      <c r="D267" s="4" t="s">
        <v>15</v>
      </c>
      <c r="E267" s="4"/>
      <c r="F267" s="4"/>
      <c r="G267" s="4"/>
      <c r="H267" s="4"/>
      <c r="I267" s="4"/>
      <c r="J267" s="4"/>
      <c r="N267" s="34"/>
      <c r="O267" s="3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25"/>
      <c r="C268" s="4"/>
      <c r="D268" s="4" t="s">
        <v>15</v>
      </c>
      <c r="E268" s="4"/>
      <c r="F268" s="4"/>
      <c r="G268" s="4"/>
      <c r="H268" s="4"/>
      <c r="I268" s="4"/>
      <c r="J268" s="4"/>
      <c r="N268" s="34"/>
      <c r="O268" s="3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25"/>
      <c r="C269" s="4"/>
      <c r="D269" s="4" t="s">
        <v>15</v>
      </c>
      <c r="E269" s="4"/>
      <c r="F269" s="4"/>
      <c r="G269" s="4"/>
      <c r="H269" s="4"/>
      <c r="I269" s="4"/>
      <c r="J269" s="4"/>
      <c r="N269" s="34"/>
      <c r="O269" s="3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25"/>
      <c r="C270" s="4"/>
      <c r="D270" s="4" t="s">
        <v>15</v>
      </c>
      <c r="E270" s="4"/>
      <c r="F270" s="4"/>
      <c r="G270" s="4"/>
      <c r="H270" s="4"/>
      <c r="I270" s="4"/>
      <c r="J270" s="4"/>
      <c r="N270" s="34"/>
      <c r="O270" s="3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25"/>
      <c r="C271" s="4"/>
      <c r="D271" s="4" t="s">
        <v>15</v>
      </c>
      <c r="E271" s="4"/>
      <c r="F271" s="4"/>
      <c r="G271" s="4"/>
      <c r="H271" s="4"/>
      <c r="I271" s="4"/>
      <c r="J271" s="4"/>
      <c r="N271" s="34"/>
      <c r="O271" s="3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25"/>
      <c r="C272" s="4"/>
      <c r="D272" s="4" t="s">
        <v>15</v>
      </c>
      <c r="E272" s="4"/>
      <c r="F272" s="4"/>
      <c r="G272" s="4"/>
      <c r="H272" s="4"/>
      <c r="I272" s="4"/>
      <c r="J272" s="4"/>
      <c r="N272" s="34"/>
      <c r="O272" s="3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25"/>
      <c r="C273" s="4"/>
      <c r="D273" s="4" t="s">
        <v>15</v>
      </c>
      <c r="E273" s="4"/>
      <c r="F273" s="4"/>
      <c r="G273" s="4"/>
      <c r="H273" s="4"/>
      <c r="I273" s="4"/>
      <c r="J273" s="4"/>
      <c r="N273" s="34"/>
      <c r="O273" s="3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25"/>
      <c r="C274" s="4"/>
      <c r="D274" s="4" t="s">
        <v>15</v>
      </c>
      <c r="E274" s="4"/>
      <c r="F274" s="4"/>
      <c r="G274" s="4"/>
      <c r="H274" s="4"/>
      <c r="I274" s="4"/>
      <c r="J274" s="4"/>
      <c r="N274" s="34"/>
      <c r="O274" s="3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25"/>
      <c r="C275" s="4"/>
      <c r="D275" s="4" t="s">
        <v>15</v>
      </c>
      <c r="E275" s="4"/>
      <c r="F275" s="4"/>
      <c r="G275" s="4"/>
      <c r="H275" s="4"/>
      <c r="I275" s="4"/>
      <c r="J275" s="4"/>
      <c r="N275" s="34"/>
      <c r="O275" s="3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25"/>
      <c r="C276" s="4"/>
      <c r="D276" s="4" t="s">
        <v>15</v>
      </c>
      <c r="E276" s="4"/>
      <c r="F276" s="4"/>
      <c r="G276" s="4"/>
      <c r="H276" s="4"/>
      <c r="I276" s="4"/>
      <c r="J276" s="4"/>
      <c r="N276" s="34"/>
      <c r="O276" s="3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25"/>
      <c r="C277" s="4"/>
      <c r="D277" s="4" t="s">
        <v>15</v>
      </c>
      <c r="E277" s="4"/>
      <c r="F277" s="4"/>
      <c r="G277" s="4"/>
      <c r="H277" s="4"/>
      <c r="I277" s="4"/>
      <c r="J277" s="4"/>
      <c r="N277" s="34"/>
      <c r="O277" s="3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25"/>
      <c r="C278" s="4"/>
      <c r="D278" s="4" t="s">
        <v>15</v>
      </c>
      <c r="E278" s="4"/>
      <c r="F278" s="4"/>
      <c r="G278" s="4"/>
      <c r="H278" s="4"/>
      <c r="I278" s="4"/>
      <c r="J278" s="4"/>
      <c r="N278" s="34"/>
      <c r="O278" s="3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25"/>
      <c r="C279" s="4"/>
      <c r="D279" s="4" t="s">
        <v>15</v>
      </c>
      <c r="E279" s="4"/>
      <c r="F279" s="4"/>
      <c r="G279" s="4"/>
      <c r="H279" s="4"/>
      <c r="I279" s="4"/>
      <c r="J279" s="4"/>
      <c r="N279" s="34"/>
      <c r="O279" s="3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25"/>
      <c r="C280" s="4"/>
      <c r="D280" s="4" t="s">
        <v>15</v>
      </c>
      <c r="E280" s="4"/>
      <c r="F280" s="4"/>
      <c r="G280" s="4"/>
      <c r="H280" s="4"/>
      <c r="I280" s="4"/>
      <c r="J280" s="4"/>
      <c r="N280" s="34"/>
      <c r="O280" s="3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25"/>
      <c r="C281" s="4"/>
      <c r="D281" s="4" t="s">
        <v>15</v>
      </c>
      <c r="E281" s="4"/>
      <c r="F281" s="4"/>
      <c r="G281" s="4"/>
      <c r="H281" s="4"/>
      <c r="I281" s="4"/>
      <c r="J281" s="4"/>
      <c r="N281" s="34"/>
      <c r="O281" s="3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25"/>
      <c r="C282" s="4"/>
      <c r="D282" s="4" t="s">
        <v>15</v>
      </c>
      <c r="E282" s="4"/>
      <c r="F282" s="4"/>
      <c r="G282" s="4"/>
      <c r="H282" s="4"/>
      <c r="I282" s="4"/>
      <c r="J282" s="4"/>
      <c r="N282" s="34"/>
      <c r="O282" s="3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25"/>
      <c r="C283" s="4"/>
      <c r="D283" s="4" t="s">
        <v>15</v>
      </c>
      <c r="E283" s="4"/>
      <c r="F283" s="4"/>
      <c r="G283" s="4"/>
      <c r="H283" s="4"/>
      <c r="I283" s="4"/>
      <c r="J283" s="4"/>
      <c r="N283" s="34"/>
      <c r="O283" s="3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25"/>
      <c r="C284" s="4"/>
      <c r="D284" s="4" t="s">
        <v>15</v>
      </c>
      <c r="E284" s="4"/>
      <c r="F284" s="4"/>
      <c r="G284" s="4"/>
      <c r="H284" s="4"/>
      <c r="I284" s="4"/>
      <c r="J284" s="4"/>
      <c r="N284" s="34"/>
      <c r="O284" s="3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25"/>
      <c r="C285" s="4"/>
      <c r="D285" s="4" t="s">
        <v>15</v>
      </c>
      <c r="E285" s="4"/>
      <c r="F285" s="4"/>
      <c r="G285" s="4"/>
      <c r="H285" s="4"/>
      <c r="I285" s="4"/>
      <c r="J285" s="4"/>
      <c r="N285" s="34"/>
      <c r="O285" s="3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25"/>
      <c r="C286" s="4"/>
      <c r="D286" s="4" t="s">
        <v>15</v>
      </c>
      <c r="E286" s="4"/>
      <c r="F286" s="4"/>
      <c r="G286" s="4"/>
      <c r="H286" s="4"/>
      <c r="I286" s="4"/>
      <c r="J286" s="4"/>
      <c r="N286" s="34"/>
      <c r="O286" s="3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25"/>
      <c r="C287" s="4"/>
      <c r="D287" s="4" t="s">
        <v>15</v>
      </c>
      <c r="E287" s="4"/>
      <c r="F287" s="4"/>
      <c r="G287" s="4"/>
      <c r="H287" s="4"/>
      <c r="I287" s="4"/>
      <c r="J287" s="4"/>
      <c r="N287" s="34"/>
      <c r="O287" s="3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25"/>
      <c r="C288" s="4"/>
      <c r="D288" s="4" t="s">
        <v>15</v>
      </c>
      <c r="E288" s="4"/>
      <c r="F288" s="4"/>
      <c r="G288" s="4"/>
      <c r="H288" s="4"/>
      <c r="I288" s="4"/>
      <c r="J288" s="4"/>
      <c r="N288" s="34"/>
      <c r="O288" s="3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25"/>
      <c r="C289" s="4"/>
      <c r="D289" s="4" t="s">
        <v>15</v>
      </c>
      <c r="E289" s="4"/>
      <c r="F289" s="4"/>
      <c r="G289" s="4"/>
      <c r="H289" s="4"/>
      <c r="I289" s="4"/>
      <c r="J289" s="4"/>
      <c r="N289" s="34"/>
      <c r="O289" s="3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25"/>
      <c r="C290" s="4"/>
      <c r="D290" s="4" t="s">
        <v>15</v>
      </c>
      <c r="E290" s="4"/>
      <c r="F290" s="4"/>
      <c r="G290" s="4"/>
      <c r="H290" s="4"/>
      <c r="I290" s="4"/>
      <c r="J290" s="4"/>
      <c r="N290" s="34"/>
      <c r="O290" s="3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25"/>
      <c r="C291" s="4"/>
      <c r="D291" s="4" t="s">
        <v>15</v>
      </c>
      <c r="E291" s="4"/>
      <c r="F291" s="4"/>
      <c r="G291" s="4"/>
      <c r="H291" s="4"/>
      <c r="I291" s="4"/>
      <c r="J291" s="4"/>
      <c r="N291" s="34"/>
      <c r="O291" s="3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25"/>
      <c r="C292" s="4"/>
      <c r="D292" s="4" t="s">
        <v>15</v>
      </c>
      <c r="E292" s="4"/>
      <c r="F292" s="4"/>
      <c r="G292" s="4"/>
      <c r="H292" s="4"/>
      <c r="I292" s="4"/>
      <c r="J292" s="4"/>
      <c r="N292" s="34"/>
      <c r="O292" s="3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25"/>
      <c r="C293" s="4"/>
      <c r="D293" s="4" t="s">
        <v>15</v>
      </c>
      <c r="E293" s="4"/>
      <c r="F293" s="4"/>
      <c r="G293" s="4"/>
      <c r="H293" s="4"/>
      <c r="I293" s="4"/>
      <c r="J293" s="4"/>
      <c r="N293" s="34"/>
      <c r="O293" s="3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25"/>
      <c r="C294" s="4"/>
      <c r="D294" s="4" t="s">
        <v>15</v>
      </c>
      <c r="E294" s="4"/>
      <c r="F294" s="4"/>
      <c r="G294" s="4"/>
      <c r="H294" s="4"/>
      <c r="I294" s="4"/>
      <c r="J294" s="4"/>
      <c r="N294" s="34"/>
      <c r="O294" s="3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25"/>
      <c r="C295" s="4"/>
      <c r="D295" s="4" t="s">
        <v>15</v>
      </c>
      <c r="E295" s="4"/>
      <c r="F295" s="4"/>
      <c r="G295" s="4"/>
      <c r="H295" s="4"/>
      <c r="I295" s="4"/>
      <c r="J295" s="4"/>
      <c r="N295" s="34"/>
      <c r="O295" s="3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25"/>
      <c r="C296" s="4"/>
      <c r="D296" s="4" t="s">
        <v>15</v>
      </c>
      <c r="E296" s="4"/>
      <c r="F296" s="4"/>
      <c r="G296" s="4"/>
      <c r="H296" s="4"/>
      <c r="I296" s="4"/>
      <c r="J296" s="4"/>
      <c r="N296" s="34"/>
      <c r="O296" s="3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25"/>
      <c r="C297" s="4"/>
      <c r="D297" s="4" t="s">
        <v>15</v>
      </c>
      <c r="E297" s="4"/>
      <c r="F297" s="4"/>
      <c r="G297" s="4"/>
      <c r="H297" s="4"/>
      <c r="I297" s="4"/>
      <c r="J297" s="4"/>
      <c r="N297" s="34"/>
      <c r="O297" s="3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25"/>
      <c r="C298" s="4"/>
      <c r="D298" s="4" t="s">
        <v>15</v>
      </c>
      <c r="E298" s="4"/>
      <c r="F298" s="4"/>
      <c r="G298" s="4"/>
      <c r="H298" s="4"/>
      <c r="I298" s="4"/>
      <c r="J298" s="4"/>
      <c r="N298" s="34"/>
      <c r="O298" s="3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25"/>
      <c r="C299" s="4"/>
      <c r="D299" s="4" t="s">
        <v>15</v>
      </c>
      <c r="E299" s="4"/>
      <c r="F299" s="4"/>
      <c r="G299" s="4"/>
      <c r="H299" s="4"/>
      <c r="I299" s="4"/>
      <c r="J299" s="4"/>
      <c r="N299" s="34"/>
      <c r="O299" s="3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25"/>
      <c r="C300" s="4"/>
      <c r="D300" s="4" t="s">
        <v>15</v>
      </c>
      <c r="E300" s="4"/>
      <c r="F300" s="4"/>
      <c r="G300" s="4"/>
      <c r="H300" s="4"/>
      <c r="I300" s="4"/>
      <c r="J300" s="4"/>
      <c r="N300" s="34"/>
      <c r="O300" s="3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25"/>
      <c r="C301" s="4"/>
      <c r="D301" s="4" t="s">
        <v>15</v>
      </c>
      <c r="E301" s="4"/>
      <c r="F301" s="4"/>
      <c r="G301" s="4"/>
      <c r="H301" s="4"/>
      <c r="I301" s="4"/>
      <c r="J301" s="4"/>
      <c r="N301" s="34"/>
      <c r="O301" s="3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25"/>
      <c r="C302" s="4"/>
      <c r="D302" s="4" t="s">
        <v>15</v>
      </c>
      <c r="E302" s="4"/>
      <c r="F302" s="4"/>
      <c r="G302" s="4"/>
      <c r="H302" s="4"/>
      <c r="I302" s="4"/>
      <c r="J302" s="4"/>
      <c r="N302" s="34"/>
      <c r="O302" s="3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25"/>
      <c r="C303" s="4"/>
      <c r="D303" s="4" t="s">
        <v>15</v>
      </c>
      <c r="E303" s="4"/>
      <c r="F303" s="4"/>
      <c r="G303" s="4"/>
      <c r="H303" s="4"/>
      <c r="I303" s="4"/>
      <c r="J303" s="4"/>
      <c r="N303" s="34"/>
      <c r="O303" s="3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25"/>
      <c r="C304" s="4"/>
      <c r="D304" s="4" t="s">
        <v>15</v>
      </c>
      <c r="E304" s="4"/>
      <c r="F304" s="4"/>
      <c r="G304" s="4"/>
      <c r="H304" s="4"/>
      <c r="I304" s="4"/>
      <c r="J304" s="4"/>
      <c r="N304" s="34"/>
      <c r="O304" s="3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25"/>
      <c r="C305" s="4"/>
      <c r="D305" s="4" t="s">
        <v>15</v>
      </c>
      <c r="E305" s="4"/>
      <c r="F305" s="4"/>
      <c r="G305" s="4"/>
      <c r="H305" s="4"/>
      <c r="I305" s="4"/>
      <c r="J305" s="4"/>
      <c r="N305" s="34"/>
      <c r="O305" s="3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25"/>
      <c r="C306" s="4"/>
      <c r="D306" s="4" t="s">
        <v>15</v>
      </c>
      <c r="E306" s="4"/>
      <c r="F306" s="4"/>
      <c r="G306" s="4"/>
      <c r="H306" s="4"/>
      <c r="I306" s="4"/>
      <c r="J306" s="4"/>
      <c r="N306" s="34"/>
      <c r="O306" s="3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25"/>
      <c r="C307" s="4"/>
      <c r="D307" s="4" t="s">
        <v>15</v>
      </c>
      <c r="E307" s="4"/>
      <c r="F307" s="4"/>
      <c r="G307" s="4"/>
      <c r="H307" s="4"/>
      <c r="I307" s="4"/>
      <c r="J307" s="4"/>
      <c r="N307" s="34"/>
      <c r="O307" s="3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25"/>
      <c r="C308" s="4"/>
      <c r="D308" s="4" t="s">
        <v>15</v>
      </c>
      <c r="E308" s="4"/>
      <c r="F308" s="4"/>
      <c r="G308" s="4"/>
      <c r="H308" s="4"/>
      <c r="I308" s="4"/>
      <c r="J308" s="4"/>
      <c r="N308" s="34"/>
      <c r="O308" s="3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25"/>
      <c r="C309" s="4"/>
      <c r="D309" s="4" t="s">
        <v>15</v>
      </c>
      <c r="E309" s="4"/>
      <c r="F309" s="4"/>
      <c r="G309" s="4"/>
      <c r="H309" s="4"/>
      <c r="I309" s="4"/>
      <c r="J309" s="4"/>
      <c r="N309" s="34"/>
      <c r="O309" s="3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25"/>
      <c r="C310" s="4"/>
      <c r="D310" s="4" t="s">
        <v>15</v>
      </c>
      <c r="E310" s="4"/>
      <c r="F310" s="4"/>
      <c r="G310" s="4"/>
      <c r="H310" s="4"/>
      <c r="I310" s="4"/>
      <c r="J310" s="4"/>
      <c r="N310" s="34"/>
      <c r="O310" s="3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25"/>
      <c r="C311" s="4"/>
      <c r="D311" s="4" t="s">
        <v>15</v>
      </c>
      <c r="E311" s="4"/>
      <c r="F311" s="4"/>
      <c r="G311" s="4"/>
      <c r="H311" s="4"/>
      <c r="I311" s="4"/>
      <c r="J311" s="4"/>
      <c r="N311" s="34"/>
      <c r="O311" s="3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25"/>
      <c r="C312" s="4"/>
      <c r="D312" s="4" t="s">
        <v>15</v>
      </c>
      <c r="E312" s="4"/>
      <c r="F312" s="4"/>
      <c r="G312" s="4"/>
      <c r="H312" s="4"/>
      <c r="I312" s="4"/>
      <c r="J312" s="4"/>
      <c r="N312" s="34"/>
      <c r="O312" s="3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25"/>
      <c r="C313" s="4"/>
      <c r="D313" s="4" t="s">
        <v>15</v>
      </c>
      <c r="E313" s="4"/>
      <c r="F313" s="4"/>
      <c r="G313" s="4"/>
      <c r="H313" s="4"/>
      <c r="I313" s="4"/>
      <c r="J313" s="4"/>
      <c r="N313" s="34"/>
      <c r="O313" s="3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25"/>
      <c r="C314" s="4"/>
      <c r="D314" s="4" t="s">
        <v>15</v>
      </c>
      <c r="E314" s="4"/>
      <c r="F314" s="4"/>
      <c r="G314" s="4"/>
      <c r="H314" s="4"/>
      <c r="I314" s="4"/>
      <c r="J314" s="4"/>
      <c r="N314" s="34"/>
      <c r="O314" s="3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25"/>
      <c r="C315" s="4"/>
      <c r="D315" s="4" t="s">
        <v>15</v>
      </c>
      <c r="E315" s="4"/>
      <c r="F315" s="4"/>
      <c r="G315" s="4"/>
      <c r="H315" s="4"/>
      <c r="I315" s="4"/>
      <c r="J315" s="4"/>
      <c r="N315" s="34"/>
      <c r="O315" s="3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25"/>
      <c r="C316" s="4"/>
      <c r="D316" s="4" t="s">
        <v>15</v>
      </c>
      <c r="E316" s="4"/>
      <c r="F316" s="4"/>
      <c r="G316" s="4"/>
      <c r="H316" s="4"/>
      <c r="I316" s="4"/>
      <c r="J316" s="4"/>
      <c r="N316" s="34"/>
      <c r="O316" s="3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25"/>
      <c r="C317" s="4"/>
      <c r="D317" s="4" t="s">
        <v>15</v>
      </c>
      <c r="E317" s="4"/>
      <c r="F317" s="4"/>
      <c r="G317" s="4"/>
      <c r="H317" s="4"/>
      <c r="I317" s="4"/>
      <c r="J317" s="4"/>
      <c r="N317" s="34"/>
      <c r="O317" s="3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25"/>
      <c r="C318" s="4"/>
      <c r="D318" s="4" t="s">
        <v>15</v>
      </c>
      <c r="E318" s="4"/>
      <c r="F318" s="4"/>
      <c r="G318" s="4"/>
      <c r="H318" s="4"/>
      <c r="I318" s="4"/>
      <c r="J318" s="4"/>
      <c r="N318" s="34"/>
      <c r="O318" s="3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25"/>
      <c r="C319" s="4"/>
      <c r="D319" s="4" t="s">
        <v>15</v>
      </c>
      <c r="E319" s="4"/>
      <c r="F319" s="4"/>
      <c r="G319" s="4"/>
      <c r="H319" s="4"/>
      <c r="I319" s="4"/>
      <c r="J319" s="4"/>
      <c r="N319" s="34"/>
      <c r="O319" s="3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25"/>
      <c r="C320" s="4"/>
      <c r="D320" s="4" t="s">
        <v>15</v>
      </c>
      <c r="E320" s="4"/>
      <c r="F320" s="4"/>
      <c r="G320" s="4"/>
      <c r="H320" s="4"/>
      <c r="I320" s="4"/>
      <c r="J320" s="4"/>
      <c r="N320" s="34"/>
      <c r="O320" s="3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25"/>
      <c r="C321" s="4"/>
      <c r="D321" s="4" t="s">
        <v>15</v>
      </c>
      <c r="E321" s="4"/>
      <c r="F321" s="4"/>
      <c r="G321" s="4"/>
      <c r="H321" s="4"/>
      <c r="I321" s="4"/>
      <c r="J321" s="4"/>
      <c r="N321" s="34"/>
      <c r="O321" s="3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25"/>
      <c r="C322" s="4"/>
      <c r="D322" s="4" t="s">
        <v>15</v>
      </c>
      <c r="E322" s="4"/>
      <c r="F322" s="4"/>
      <c r="G322" s="4"/>
      <c r="H322" s="4"/>
      <c r="I322" s="4"/>
      <c r="J322" s="4"/>
      <c r="N322" s="34"/>
      <c r="O322" s="3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25"/>
      <c r="C323" s="4"/>
      <c r="D323" s="4" t="s">
        <v>15</v>
      </c>
      <c r="E323" s="4"/>
      <c r="F323" s="4"/>
      <c r="G323" s="4"/>
      <c r="H323" s="4"/>
      <c r="I323" s="4"/>
      <c r="J323" s="4"/>
      <c r="N323" s="34"/>
      <c r="O323" s="3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25"/>
      <c r="C324" s="4"/>
      <c r="D324" s="4" t="s">
        <v>15</v>
      </c>
      <c r="E324" s="4"/>
      <c r="F324" s="4"/>
      <c r="G324" s="4"/>
      <c r="H324" s="4"/>
      <c r="I324" s="4"/>
      <c r="J324" s="4"/>
      <c r="N324" s="34"/>
      <c r="O324" s="3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25"/>
      <c r="C325" s="4"/>
      <c r="D325" s="4" t="s">
        <v>15</v>
      </c>
      <c r="E325" s="4"/>
      <c r="F325" s="4"/>
      <c r="G325" s="4"/>
      <c r="H325" s="4"/>
      <c r="I325" s="4"/>
      <c r="J325" s="4"/>
      <c r="N325" s="34"/>
      <c r="O325" s="3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25"/>
      <c r="C326" s="4"/>
      <c r="D326" s="4" t="s">
        <v>15</v>
      </c>
      <c r="E326" s="4"/>
      <c r="F326" s="4"/>
      <c r="G326" s="4"/>
      <c r="H326" s="4"/>
      <c r="I326" s="4"/>
      <c r="J326" s="4"/>
      <c r="N326" s="34"/>
      <c r="O326" s="3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25"/>
      <c r="C327" s="4"/>
      <c r="D327" s="4" t="s">
        <v>15</v>
      </c>
      <c r="E327" s="4"/>
      <c r="F327" s="4"/>
      <c r="G327" s="4"/>
      <c r="H327" s="4"/>
      <c r="I327" s="4"/>
      <c r="J327" s="4"/>
      <c r="N327" s="34"/>
      <c r="O327" s="3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25"/>
      <c r="C328" s="4"/>
      <c r="D328" s="4" t="s">
        <v>15</v>
      </c>
      <c r="E328" s="4"/>
      <c r="F328" s="4"/>
      <c r="G328" s="4"/>
      <c r="H328" s="4"/>
      <c r="I328" s="4"/>
      <c r="J328" s="4"/>
      <c r="N328" s="34"/>
      <c r="O328" s="3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25"/>
      <c r="C329" s="4"/>
      <c r="D329" s="4" t="s">
        <v>15</v>
      </c>
      <c r="E329" s="4"/>
      <c r="F329" s="4"/>
      <c r="G329" s="4"/>
      <c r="H329" s="4"/>
      <c r="I329" s="4"/>
      <c r="J329" s="4"/>
      <c r="N329" s="34"/>
      <c r="O329" s="3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25"/>
      <c r="C330" s="4"/>
      <c r="D330" s="4" t="s">
        <v>15</v>
      </c>
      <c r="E330" s="4"/>
      <c r="F330" s="4"/>
      <c r="G330" s="4"/>
      <c r="H330" s="4"/>
      <c r="I330" s="4"/>
      <c r="J330" s="4"/>
      <c r="N330" s="34"/>
      <c r="O330" s="3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25"/>
      <c r="C331" s="4"/>
      <c r="D331" s="4" t="s">
        <v>15</v>
      </c>
      <c r="E331" s="4"/>
      <c r="F331" s="4"/>
      <c r="G331" s="4"/>
      <c r="H331" s="4"/>
      <c r="I331" s="4"/>
      <c r="J331" s="4"/>
      <c r="N331" s="34"/>
      <c r="O331" s="3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25"/>
      <c r="C332" s="4"/>
      <c r="D332" s="4" t="s">
        <v>15</v>
      </c>
      <c r="E332" s="4"/>
      <c r="F332" s="4"/>
      <c r="G332" s="4"/>
      <c r="H332" s="4"/>
      <c r="I332" s="4"/>
      <c r="J332" s="4"/>
      <c r="N332" s="34"/>
      <c r="O332" s="3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25"/>
      <c r="C333" s="4"/>
      <c r="D333" s="4" t="s">
        <v>15</v>
      </c>
      <c r="E333" s="4"/>
      <c r="F333" s="4"/>
      <c r="G333" s="4"/>
      <c r="H333" s="4"/>
      <c r="I333" s="4"/>
      <c r="J333" s="4"/>
      <c r="N333" s="34"/>
      <c r="O333" s="3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25"/>
      <c r="C334" s="4"/>
      <c r="D334" s="4" t="s">
        <v>15</v>
      </c>
      <c r="E334" s="4"/>
      <c r="F334" s="4"/>
      <c r="G334" s="4"/>
      <c r="H334" s="4"/>
      <c r="I334" s="4"/>
      <c r="J334" s="4"/>
      <c r="N334" s="34"/>
      <c r="O334" s="3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25"/>
      <c r="C335" s="4"/>
      <c r="D335" s="4" t="s">
        <v>15</v>
      </c>
      <c r="E335" s="4"/>
      <c r="F335" s="4"/>
      <c r="G335" s="4"/>
      <c r="H335" s="4"/>
      <c r="I335" s="4"/>
      <c r="J335" s="4"/>
      <c r="N335" s="34"/>
      <c r="O335" s="3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25"/>
      <c r="C336" s="4"/>
      <c r="D336" s="4" t="s">
        <v>15</v>
      </c>
      <c r="E336" s="4"/>
      <c r="F336" s="4"/>
      <c r="G336" s="4"/>
      <c r="H336" s="4"/>
      <c r="I336" s="4"/>
      <c r="J336" s="4"/>
      <c r="N336" s="34"/>
      <c r="O336" s="3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25"/>
      <c r="C337" s="4"/>
      <c r="D337" s="4" t="s">
        <v>15</v>
      </c>
      <c r="E337" s="4"/>
      <c r="F337" s="4"/>
      <c r="G337" s="4"/>
      <c r="H337" s="4"/>
      <c r="I337" s="4"/>
      <c r="J337" s="4"/>
      <c r="N337" s="34"/>
      <c r="O337" s="3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25"/>
      <c r="C338" s="4"/>
      <c r="D338" s="4" t="s">
        <v>15</v>
      </c>
      <c r="E338" s="4"/>
      <c r="F338" s="4"/>
      <c r="G338" s="4"/>
      <c r="H338" s="4"/>
      <c r="I338" s="4"/>
      <c r="J338" s="4"/>
      <c r="N338" s="34"/>
      <c r="O338" s="3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25"/>
      <c r="C339" s="4"/>
      <c r="D339" s="4" t="s">
        <v>15</v>
      </c>
      <c r="E339" s="4"/>
      <c r="F339" s="4"/>
      <c r="G339" s="4"/>
      <c r="H339" s="4"/>
      <c r="I339" s="4"/>
      <c r="J339" s="4"/>
      <c r="N339" s="34"/>
      <c r="O339" s="3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25"/>
      <c r="C340" s="4"/>
      <c r="D340" s="4" t="s">
        <v>15</v>
      </c>
      <c r="E340" s="4"/>
      <c r="F340" s="4"/>
      <c r="G340" s="4"/>
      <c r="H340" s="4"/>
      <c r="I340" s="4"/>
      <c r="J340" s="4"/>
      <c r="N340" s="34"/>
      <c r="O340" s="3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25"/>
      <c r="C341" s="4"/>
      <c r="D341" s="4" t="s">
        <v>15</v>
      </c>
      <c r="E341" s="4"/>
      <c r="F341" s="4"/>
      <c r="G341" s="4"/>
      <c r="H341" s="4"/>
      <c r="I341" s="4"/>
      <c r="J341" s="4"/>
      <c r="N341" s="34"/>
      <c r="O341" s="3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25"/>
      <c r="C342" s="4"/>
      <c r="D342" s="4" t="s">
        <v>15</v>
      </c>
      <c r="E342" s="4"/>
      <c r="F342" s="4"/>
      <c r="G342" s="4"/>
      <c r="H342" s="4"/>
      <c r="I342" s="4"/>
      <c r="J342" s="4"/>
      <c r="N342" s="34"/>
      <c r="O342" s="3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25"/>
      <c r="C343" s="4"/>
      <c r="D343" s="4" t="s">
        <v>15</v>
      </c>
      <c r="E343" s="4"/>
      <c r="F343" s="4"/>
      <c r="G343" s="4"/>
      <c r="H343" s="4"/>
      <c r="I343" s="4"/>
      <c r="J343" s="4"/>
      <c r="N343" s="34"/>
      <c r="O343" s="3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25"/>
      <c r="C344" s="4"/>
      <c r="D344" s="4" t="s">
        <v>15</v>
      </c>
      <c r="E344" s="4"/>
      <c r="F344" s="4"/>
      <c r="G344" s="4"/>
      <c r="H344" s="4"/>
      <c r="I344" s="4"/>
      <c r="J344" s="4"/>
      <c r="N344" s="34"/>
      <c r="O344" s="3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25"/>
      <c r="C345" s="4"/>
      <c r="D345" s="4" t="s">
        <v>15</v>
      </c>
      <c r="E345" s="4"/>
      <c r="F345" s="4"/>
      <c r="G345" s="4"/>
      <c r="H345" s="4"/>
      <c r="I345" s="4"/>
      <c r="J345" s="4"/>
      <c r="N345" s="34"/>
      <c r="O345" s="3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25"/>
      <c r="C346" s="4"/>
      <c r="D346" s="4" t="s">
        <v>15</v>
      </c>
      <c r="E346" s="4"/>
      <c r="F346" s="4"/>
      <c r="G346" s="4"/>
      <c r="H346" s="4"/>
      <c r="I346" s="4"/>
      <c r="J346" s="4"/>
      <c r="N346" s="34"/>
      <c r="O346" s="3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25"/>
      <c r="C347" s="4"/>
      <c r="D347" s="4" t="s">
        <v>15</v>
      </c>
      <c r="E347" s="4"/>
      <c r="F347" s="4"/>
      <c r="G347" s="4"/>
      <c r="H347" s="4"/>
      <c r="I347" s="4"/>
      <c r="J347" s="4"/>
      <c r="N347" s="34"/>
      <c r="O347" s="3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25"/>
      <c r="C348" s="4"/>
      <c r="D348" s="4" t="s">
        <v>15</v>
      </c>
      <c r="E348" s="4"/>
      <c r="F348" s="4"/>
      <c r="G348" s="4"/>
      <c r="H348" s="4"/>
      <c r="I348" s="4"/>
      <c r="J348" s="4"/>
      <c r="N348" s="34"/>
      <c r="O348" s="3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25"/>
      <c r="C349" s="4"/>
      <c r="D349" s="4" t="s">
        <v>15</v>
      </c>
      <c r="E349" s="4"/>
      <c r="F349" s="4"/>
      <c r="G349" s="4"/>
      <c r="H349" s="4"/>
      <c r="I349" s="4"/>
      <c r="J349" s="4"/>
      <c r="N349" s="34"/>
      <c r="O349" s="3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25"/>
      <c r="C350" s="4"/>
      <c r="D350" s="4" t="s">
        <v>15</v>
      </c>
      <c r="E350" s="4"/>
      <c r="F350" s="4"/>
      <c r="G350" s="4"/>
      <c r="H350" s="4"/>
      <c r="I350" s="4"/>
      <c r="J350" s="4"/>
      <c r="N350" s="34"/>
      <c r="O350" s="3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25"/>
      <c r="C351" s="4"/>
      <c r="D351" s="4" t="s">
        <v>15</v>
      </c>
      <c r="E351" s="4"/>
      <c r="F351" s="4"/>
      <c r="G351" s="4"/>
      <c r="H351" s="4"/>
      <c r="I351" s="4"/>
      <c r="J351" s="4"/>
      <c r="N351" s="34"/>
      <c r="O351" s="3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25"/>
      <c r="C352" s="4"/>
      <c r="D352" s="4" t="s">
        <v>15</v>
      </c>
      <c r="E352" s="4"/>
      <c r="F352" s="4"/>
      <c r="G352" s="4"/>
      <c r="H352" s="4"/>
      <c r="I352" s="4"/>
      <c r="J352" s="4"/>
      <c r="N352" s="34"/>
      <c r="O352" s="3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25"/>
      <c r="C353" s="4"/>
      <c r="D353" s="4" t="s">
        <v>15</v>
      </c>
      <c r="E353" s="4"/>
      <c r="F353" s="4"/>
      <c r="G353" s="4"/>
      <c r="H353" s="4"/>
      <c r="I353" s="4"/>
      <c r="J353" s="4"/>
      <c r="N353" s="34"/>
      <c r="O353" s="3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25"/>
      <c r="C354" s="4"/>
      <c r="D354" s="4" t="s">
        <v>15</v>
      </c>
      <c r="E354" s="4"/>
      <c r="F354" s="4"/>
      <c r="G354" s="4"/>
      <c r="H354" s="4"/>
      <c r="I354" s="4"/>
      <c r="J354" s="4"/>
      <c r="N354" s="34"/>
      <c r="O354" s="3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25"/>
      <c r="C355" s="4"/>
      <c r="D355" s="4" t="s">
        <v>15</v>
      </c>
      <c r="E355" s="4"/>
      <c r="F355" s="4"/>
      <c r="G355" s="4"/>
      <c r="H355" s="4"/>
      <c r="I355" s="4"/>
      <c r="J355" s="4"/>
      <c r="N355" s="34"/>
      <c r="O355" s="3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25"/>
      <c r="C356" s="4"/>
      <c r="D356" s="4" t="s">
        <v>15</v>
      </c>
      <c r="E356" s="4"/>
      <c r="F356" s="4"/>
      <c r="G356" s="4"/>
      <c r="H356" s="4"/>
      <c r="I356" s="4"/>
      <c r="J356" s="4"/>
      <c r="N356" s="34"/>
      <c r="O356" s="3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25"/>
      <c r="C357" s="4"/>
      <c r="D357" s="4" t="s">
        <v>15</v>
      </c>
      <c r="E357" s="4"/>
      <c r="F357" s="4"/>
      <c r="G357" s="4"/>
      <c r="H357" s="4"/>
      <c r="I357" s="4"/>
      <c r="J357" s="4"/>
      <c r="N357" s="34"/>
      <c r="O357" s="3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25"/>
      <c r="C358" s="4"/>
      <c r="D358" s="4" t="s">
        <v>15</v>
      </c>
      <c r="E358" s="4"/>
      <c r="F358" s="4"/>
      <c r="G358" s="4"/>
      <c r="H358" s="4"/>
      <c r="I358" s="4"/>
      <c r="J358" s="4"/>
      <c r="N358" s="34"/>
      <c r="O358" s="3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25"/>
      <c r="C359" s="4"/>
      <c r="D359" s="4" t="s">
        <v>15</v>
      </c>
      <c r="E359" s="4"/>
      <c r="F359" s="4"/>
      <c r="G359" s="4"/>
      <c r="H359" s="4"/>
      <c r="I359" s="4"/>
      <c r="J359" s="4"/>
      <c r="N359" s="34"/>
      <c r="O359" s="3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25"/>
      <c r="C360" s="4"/>
      <c r="D360" s="4" t="s">
        <v>15</v>
      </c>
      <c r="E360" s="4"/>
      <c r="F360" s="4"/>
      <c r="G360" s="4"/>
      <c r="H360" s="4"/>
      <c r="I360" s="4"/>
      <c r="J360" s="4"/>
      <c r="N360" s="34"/>
      <c r="O360" s="3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25"/>
      <c r="C361" s="4"/>
      <c r="D361" s="4" t="s">
        <v>15</v>
      </c>
      <c r="E361" s="4"/>
      <c r="F361" s="4"/>
      <c r="G361" s="4"/>
      <c r="H361" s="4"/>
      <c r="I361" s="4"/>
      <c r="J361" s="4"/>
      <c r="N361" s="34"/>
      <c r="O361" s="3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25"/>
      <c r="C362" s="4"/>
      <c r="D362" s="4" t="s">
        <v>15</v>
      </c>
      <c r="E362" s="4"/>
      <c r="F362" s="4"/>
      <c r="G362" s="4"/>
      <c r="H362" s="4"/>
      <c r="I362" s="4"/>
      <c r="J362" s="4"/>
      <c r="N362" s="34"/>
      <c r="O362" s="3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25"/>
      <c r="C363" s="4"/>
      <c r="D363" s="4" t="s">
        <v>15</v>
      </c>
      <c r="E363" s="4"/>
      <c r="F363" s="4"/>
      <c r="G363" s="4"/>
      <c r="H363" s="4"/>
      <c r="I363" s="4"/>
      <c r="J363" s="4"/>
      <c r="N363" s="34"/>
      <c r="O363" s="3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25"/>
      <c r="C364" s="4"/>
      <c r="D364" s="4" t="s">
        <v>15</v>
      </c>
      <c r="E364" s="4"/>
      <c r="F364" s="4"/>
      <c r="G364" s="4"/>
      <c r="H364" s="4"/>
      <c r="I364" s="4"/>
      <c r="J364" s="4"/>
      <c r="N364" s="34"/>
      <c r="O364" s="3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25"/>
      <c r="C365" s="4"/>
      <c r="D365" s="4" t="s">
        <v>15</v>
      </c>
      <c r="E365" s="4"/>
      <c r="F365" s="4"/>
      <c r="G365" s="4"/>
      <c r="H365" s="4"/>
      <c r="I365" s="4"/>
      <c r="J365" s="4"/>
      <c r="N365" s="34"/>
      <c r="O365" s="3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25"/>
      <c r="C366" s="4"/>
      <c r="D366" s="4" t="s">
        <v>15</v>
      </c>
      <c r="E366" s="4"/>
      <c r="F366" s="4"/>
      <c r="G366" s="4"/>
      <c r="H366" s="4"/>
      <c r="I366" s="4"/>
      <c r="J366" s="4"/>
      <c r="N366" s="34"/>
      <c r="O366" s="3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25"/>
      <c r="C367" s="4"/>
      <c r="D367" s="4" t="s">
        <v>15</v>
      </c>
      <c r="E367" s="4"/>
      <c r="F367" s="4"/>
      <c r="G367" s="4"/>
      <c r="H367" s="4"/>
      <c r="I367" s="4"/>
      <c r="J367" s="4"/>
      <c r="N367" s="34"/>
      <c r="O367" s="3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25"/>
      <c r="C368" s="4"/>
      <c r="D368" s="4" t="s">
        <v>15</v>
      </c>
      <c r="E368" s="4"/>
      <c r="F368" s="4"/>
      <c r="G368" s="4"/>
      <c r="H368" s="4"/>
      <c r="I368" s="4"/>
      <c r="J368" s="4"/>
      <c r="N368" s="34"/>
      <c r="O368" s="3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25"/>
      <c r="C369" s="4"/>
      <c r="D369" s="4" t="s">
        <v>15</v>
      </c>
      <c r="E369" s="4"/>
      <c r="F369" s="4"/>
      <c r="G369" s="4"/>
      <c r="H369" s="4"/>
      <c r="I369" s="4"/>
      <c r="J369" s="4"/>
      <c r="N369" s="34"/>
      <c r="O369" s="3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25"/>
      <c r="C370" s="4"/>
      <c r="D370" s="4" t="s">
        <v>15</v>
      </c>
      <c r="E370" s="4"/>
      <c r="F370" s="4"/>
      <c r="G370" s="4"/>
      <c r="H370" s="4"/>
      <c r="I370" s="4"/>
      <c r="J370" s="4"/>
      <c r="N370" s="34"/>
      <c r="O370" s="3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25"/>
      <c r="C371" s="4"/>
      <c r="D371" s="4" t="s">
        <v>15</v>
      </c>
      <c r="E371" s="4"/>
      <c r="F371" s="4"/>
      <c r="G371" s="4"/>
      <c r="H371" s="4"/>
      <c r="I371" s="4"/>
      <c r="J371" s="4"/>
      <c r="N371" s="34"/>
      <c r="O371" s="3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25"/>
      <c r="C372" s="4"/>
      <c r="D372" s="4" t="s">
        <v>15</v>
      </c>
      <c r="E372" s="4"/>
      <c r="F372" s="4"/>
      <c r="G372" s="4"/>
      <c r="H372" s="4"/>
      <c r="I372" s="4"/>
      <c r="J372" s="4"/>
      <c r="N372" s="34"/>
      <c r="O372" s="3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25"/>
      <c r="C373" s="4"/>
      <c r="D373" s="4" t="s">
        <v>15</v>
      </c>
      <c r="E373" s="4"/>
      <c r="F373" s="4"/>
      <c r="G373" s="4"/>
      <c r="H373" s="4"/>
      <c r="I373" s="4"/>
      <c r="J373" s="4"/>
      <c r="N373" s="34"/>
      <c r="O373" s="3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25"/>
      <c r="C374" s="4"/>
      <c r="D374" s="4" t="s">
        <v>15</v>
      </c>
      <c r="E374" s="4"/>
      <c r="F374" s="4"/>
      <c r="G374" s="4"/>
      <c r="H374" s="4"/>
      <c r="I374" s="4"/>
      <c r="J374" s="4"/>
      <c r="N374" s="34"/>
      <c r="O374" s="3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25"/>
      <c r="C375" s="4"/>
      <c r="D375" s="4" t="s">
        <v>15</v>
      </c>
      <c r="E375" s="4"/>
      <c r="F375" s="4"/>
      <c r="G375" s="4"/>
      <c r="H375" s="4"/>
      <c r="I375" s="4"/>
      <c r="J375" s="4"/>
      <c r="N375" s="34"/>
      <c r="O375" s="3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25"/>
      <c r="C376" s="4"/>
      <c r="D376" s="4" t="s">
        <v>15</v>
      </c>
      <c r="E376" s="4"/>
      <c r="F376" s="4"/>
      <c r="G376" s="4"/>
      <c r="H376" s="4"/>
      <c r="I376" s="4"/>
      <c r="J376" s="4"/>
      <c r="N376" s="34"/>
      <c r="O376" s="3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25"/>
      <c r="C377" s="4"/>
      <c r="D377" s="4" t="s">
        <v>15</v>
      </c>
      <c r="E377" s="4"/>
      <c r="F377" s="4"/>
      <c r="G377" s="4"/>
      <c r="H377" s="4"/>
      <c r="I377" s="4"/>
      <c r="J377" s="4"/>
      <c r="N377" s="34"/>
      <c r="O377" s="3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25"/>
      <c r="C378" s="4"/>
      <c r="D378" s="4" t="s">
        <v>15</v>
      </c>
      <c r="E378" s="4"/>
      <c r="F378" s="4"/>
      <c r="G378" s="4"/>
      <c r="H378" s="4"/>
      <c r="I378" s="4"/>
      <c r="J378" s="4"/>
      <c r="N378" s="34"/>
      <c r="O378" s="3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25"/>
      <c r="C379" s="4"/>
      <c r="D379" s="4" t="s">
        <v>15</v>
      </c>
      <c r="E379" s="4"/>
      <c r="F379" s="4"/>
      <c r="G379" s="4"/>
      <c r="H379" s="4"/>
      <c r="I379" s="4"/>
      <c r="J379" s="4"/>
      <c r="N379" s="34"/>
      <c r="O379" s="3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25"/>
      <c r="C380" s="4"/>
      <c r="D380" s="4" t="s">
        <v>15</v>
      </c>
      <c r="E380" s="4"/>
      <c r="F380" s="4"/>
      <c r="G380" s="4"/>
      <c r="H380" s="4"/>
      <c r="I380" s="4"/>
      <c r="J380" s="4"/>
      <c r="N380" s="34"/>
      <c r="O380" s="3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25"/>
      <c r="C381" s="4"/>
      <c r="D381" s="4" t="s">
        <v>15</v>
      </c>
      <c r="E381" s="4"/>
      <c r="F381" s="4"/>
      <c r="G381" s="4"/>
      <c r="H381" s="4"/>
      <c r="I381" s="4"/>
      <c r="J381" s="4"/>
      <c r="N381" s="34"/>
      <c r="O381" s="3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25"/>
      <c r="C382" s="4"/>
      <c r="D382" s="4" t="s">
        <v>15</v>
      </c>
      <c r="E382" s="4"/>
      <c r="F382" s="4"/>
      <c r="G382" s="4"/>
      <c r="H382" s="4"/>
      <c r="I382" s="4"/>
      <c r="J382" s="4"/>
      <c r="N382" s="34"/>
      <c r="O382" s="3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25"/>
      <c r="C383" s="4"/>
      <c r="D383" s="4" t="s">
        <v>15</v>
      </c>
      <c r="E383" s="4"/>
      <c r="F383" s="4"/>
      <c r="G383" s="4"/>
      <c r="H383" s="4"/>
      <c r="I383" s="4"/>
      <c r="J383" s="4"/>
      <c r="N383" s="34"/>
      <c r="O383" s="3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25"/>
      <c r="C384" s="4"/>
      <c r="D384" s="4" t="s">
        <v>15</v>
      </c>
      <c r="E384" s="4"/>
      <c r="F384" s="4"/>
      <c r="G384" s="4"/>
      <c r="H384" s="4"/>
      <c r="I384" s="4"/>
      <c r="J384" s="4"/>
      <c r="N384" s="34"/>
      <c r="O384" s="3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25"/>
      <c r="C385" s="4"/>
      <c r="D385" s="4" t="s">
        <v>15</v>
      </c>
      <c r="E385" s="4"/>
      <c r="F385" s="4"/>
      <c r="G385" s="4"/>
      <c r="H385" s="4"/>
      <c r="I385" s="4"/>
      <c r="J385" s="4"/>
      <c r="N385" s="34"/>
      <c r="O385" s="3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25"/>
      <c r="C386" s="4"/>
      <c r="D386" s="4" t="s">
        <v>15</v>
      </c>
      <c r="E386" s="4"/>
      <c r="F386" s="4"/>
      <c r="G386" s="4"/>
      <c r="H386" s="4"/>
      <c r="I386" s="4"/>
      <c r="J386" s="4"/>
      <c r="N386" s="34"/>
      <c r="O386" s="3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25"/>
      <c r="C387" s="4"/>
      <c r="D387" s="4" t="s">
        <v>15</v>
      </c>
      <c r="E387" s="4"/>
      <c r="F387" s="4"/>
      <c r="G387" s="4"/>
      <c r="H387" s="4"/>
      <c r="I387" s="4"/>
      <c r="J387" s="4"/>
      <c r="N387" s="34"/>
      <c r="O387" s="3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25"/>
      <c r="C388" s="4"/>
      <c r="D388" s="4" t="s">
        <v>15</v>
      </c>
      <c r="E388" s="4"/>
      <c r="F388" s="4"/>
      <c r="G388" s="4"/>
      <c r="H388" s="4"/>
      <c r="I388" s="4"/>
      <c r="J388" s="4"/>
      <c r="N388" s="34"/>
      <c r="O388" s="3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25"/>
      <c r="C389" s="4"/>
      <c r="D389" s="4" t="s">
        <v>15</v>
      </c>
      <c r="E389" s="4"/>
      <c r="F389" s="4"/>
      <c r="G389" s="4"/>
      <c r="H389" s="4"/>
      <c r="I389" s="4"/>
      <c r="J389" s="4"/>
      <c r="N389" s="34"/>
      <c r="O389" s="3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25"/>
      <c r="C390" s="4"/>
      <c r="D390" s="4" t="s">
        <v>15</v>
      </c>
      <c r="E390" s="4"/>
      <c r="F390" s="4"/>
      <c r="G390" s="4"/>
      <c r="H390" s="4"/>
      <c r="I390" s="4"/>
      <c r="J390" s="4"/>
      <c r="N390" s="34"/>
      <c r="O390" s="3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25"/>
      <c r="C391" s="4"/>
      <c r="D391" s="4" t="s">
        <v>15</v>
      </c>
      <c r="E391" s="4"/>
      <c r="F391" s="4"/>
      <c r="G391" s="4"/>
      <c r="H391" s="4"/>
      <c r="I391" s="4"/>
      <c r="J391" s="4"/>
      <c r="N391" s="34"/>
      <c r="O391" s="3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25"/>
      <c r="C392" s="4"/>
      <c r="D392" s="4" t="s">
        <v>15</v>
      </c>
      <c r="E392" s="4"/>
      <c r="F392" s="4"/>
      <c r="G392" s="4"/>
      <c r="H392" s="4"/>
      <c r="I392" s="4"/>
      <c r="J392" s="4"/>
      <c r="N392" s="34"/>
      <c r="O392" s="3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25"/>
      <c r="C393" s="4"/>
      <c r="D393" s="4" t="s">
        <v>15</v>
      </c>
      <c r="E393" s="4"/>
      <c r="F393" s="4"/>
      <c r="G393" s="4"/>
      <c r="H393" s="4"/>
      <c r="I393" s="4"/>
      <c r="J393" s="4"/>
      <c r="N393" s="34"/>
      <c r="O393" s="3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25"/>
      <c r="C394" s="4"/>
      <c r="D394" s="4" t="s">
        <v>15</v>
      </c>
      <c r="E394" s="4"/>
      <c r="F394" s="4"/>
      <c r="G394" s="4"/>
      <c r="H394" s="4"/>
      <c r="I394" s="4"/>
      <c r="J394" s="4"/>
      <c r="N394" s="34"/>
      <c r="O394" s="3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25"/>
      <c r="C395" s="4"/>
      <c r="D395" s="4" t="s">
        <v>15</v>
      </c>
      <c r="E395" s="4"/>
      <c r="F395" s="4"/>
      <c r="G395" s="4"/>
      <c r="H395" s="4"/>
      <c r="I395" s="4"/>
      <c r="J395" s="4"/>
      <c r="N395" s="34"/>
      <c r="O395" s="3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25"/>
      <c r="C396" s="4"/>
      <c r="D396" s="4" t="s">
        <v>15</v>
      </c>
      <c r="E396" s="4"/>
      <c r="F396" s="4"/>
      <c r="G396" s="4"/>
      <c r="H396" s="4"/>
      <c r="I396" s="4"/>
      <c r="J396" s="4"/>
      <c r="N396" s="34"/>
      <c r="O396" s="3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25"/>
      <c r="C397" s="4"/>
      <c r="D397" s="4" t="s">
        <v>15</v>
      </c>
      <c r="E397" s="4"/>
      <c r="F397" s="4"/>
      <c r="G397" s="4"/>
      <c r="H397" s="4"/>
      <c r="I397" s="4"/>
      <c r="J397" s="4"/>
      <c r="N397" s="34"/>
      <c r="O397" s="3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25"/>
      <c r="C398" s="4"/>
      <c r="D398" s="4" t="s">
        <v>15</v>
      </c>
      <c r="E398" s="4"/>
      <c r="F398" s="4"/>
      <c r="G398" s="4"/>
      <c r="H398" s="4"/>
      <c r="I398" s="4"/>
      <c r="J398" s="4"/>
      <c r="N398" s="34"/>
      <c r="O398" s="3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25"/>
      <c r="C399" s="4"/>
      <c r="D399" s="4" t="s">
        <v>15</v>
      </c>
      <c r="E399" s="4"/>
      <c r="F399" s="4"/>
      <c r="G399" s="4"/>
      <c r="H399" s="4"/>
      <c r="I399" s="4"/>
      <c r="J399" s="4"/>
      <c r="N399" s="34"/>
      <c r="O399" s="3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25"/>
      <c r="C400" s="4"/>
      <c r="D400" s="4" t="s">
        <v>15</v>
      </c>
      <c r="E400" s="4"/>
      <c r="F400" s="4"/>
      <c r="G400" s="4"/>
      <c r="H400" s="4"/>
      <c r="I400" s="4"/>
      <c r="J400" s="4"/>
      <c r="N400" s="34"/>
      <c r="O400" s="3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25"/>
      <c r="C401" s="4"/>
      <c r="D401" s="4" t="s">
        <v>15</v>
      </c>
      <c r="E401" s="4"/>
      <c r="F401" s="4"/>
      <c r="G401" s="4"/>
      <c r="H401" s="4"/>
      <c r="I401" s="4"/>
      <c r="J401" s="4"/>
      <c r="N401" s="34"/>
      <c r="O401" s="3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25"/>
      <c r="C402" s="4"/>
      <c r="D402" s="4" t="s">
        <v>15</v>
      </c>
      <c r="E402" s="4"/>
      <c r="F402" s="4"/>
      <c r="G402" s="4"/>
      <c r="H402" s="4"/>
      <c r="I402" s="4"/>
      <c r="J402" s="4"/>
      <c r="N402" s="34"/>
      <c r="O402" s="3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25"/>
      <c r="C403" s="4"/>
      <c r="D403" s="4" t="s">
        <v>15</v>
      </c>
      <c r="E403" s="4"/>
      <c r="F403" s="4"/>
      <c r="G403" s="4"/>
      <c r="H403" s="4"/>
      <c r="I403" s="4"/>
      <c r="J403" s="4"/>
      <c r="N403" s="34"/>
      <c r="O403" s="3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25"/>
      <c r="C404" s="4"/>
      <c r="D404" s="4" t="s">
        <v>15</v>
      </c>
      <c r="E404" s="4"/>
      <c r="F404" s="4"/>
      <c r="G404" s="4"/>
      <c r="H404" s="4"/>
      <c r="I404" s="4"/>
      <c r="J404" s="4"/>
      <c r="N404" s="34"/>
      <c r="O404" s="3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25"/>
      <c r="C405" s="4"/>
      <c r="D405" s="4" t="s">
        <v>15</v>
      </c>
      <c r="E405" s="4"/>
      <c r="F405" s="4"/>
      <c r="G405" s="4"/>
      <c r="H405" s="4"/>
      <c r="I405" s="4"/>
      <c r="J405" s="4"/>
      <c r="N405" s="34"/>
      <c r="O405" s="3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25"/>
      <c r="C406" s="4"/>
      <c r="D406" s="4" t="s">
        <v>15</v>
      </c>
      <c r="E406" s="4"/>
      <c r="F406" s="4"/>
      <c r="G406" s="4"/>
      <c r="H406" s="4"/>
      <c r="I406" s="4"/>
      <c r="J406" s="4"/>
      <c r="N406" s="34"/>
      <c r="O406" s="3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25"/>
      <c r="C407" s="4"/>
      <c r="D407" s="4" t="s">
        <v>15</v>
      </c>
      <c r="E407" s="4"/>
      <c r="F407" s="4"/>
      <c r="G407" s="4"/>
      <c r="H407" s="4"/>
      <c r="I407" s="4"/>
      <c r="J407" s="4"/>
      <c r="N407" s="34"/>
      <c r="O407" s="3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25"/>
      <c r="C408" s="4"/>
      <c r="D408" s="4" t="s">
        <v>15</v>
      </c>
      <c r="E408" s="4"/>
      <c r="F408" s="4"/>
      <c r="G408" s="4"/>
      <c r="H408" s="4"/>
      <c r="I408" s="4"/>
      <c r="J408" s="4"/>
      <c r="N408" s="34"/>
      <c r="O408" s="3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25"/>
      <c r="C409" s="4"/>
      <c r="D409" s="4" t="s">
        <v>15</v>
      </c>
      <c r="E409" s="4"/>
      <c r="F409" s="4"/>
      <c r="G409" s="4"/>
      <c r="H409" s="4"/>
      <c r="I409" s="4"/>
      <c r="J409" s="4"/>
      <c r="N409" s="34"/>
      <c r="O409" s="3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25"/>
      <c r="C410" s="4"/>
      <c r="D410" s="4" t="s">
        <v>15</v>
      </c>
      <c r="E410" s="4"/>
      <c r="F410" s="4"/>
      <c r="G410" s="4"/>
      <c r="H410" s="4"/>
      <c r="I410" s="4"/>
      <c r="J410" s="4"/>
      <c r="N410" s="34"/>
      <c r="O410" s="3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25"/>
      <c r="C411" s="4"/>
      <c r="D411" s="4" t="s">
        <v>15</v>
      </c>
      <c r="E411" s="4"/>
      <c r="F411" s="4"/>
      <c r="G411" s="4"/>
      <c r="H411" s="4"/>
      <c r="I411" s="4"/>
      <c r="J411" s="4"/>
      <c r="N411" s="34"/>
      <c r="O411" s="3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25"/>
      <c r="C412" s="4"/>
      <c r="D412" s="4" t="s">
        <v>15</v>
      </c>
      <c r="E412" s="4"/>
      <c r="F412" s="4"/>
      <c r="G412" s="4"/>
      <c r="H412" s="4"/>
      <c r="I412" s="4"/>
      <c r="J412" s="4"/>
      <c r="N412" s="34"/>
      <c r="O412" s="3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25"/>
      <c r="C413" s="4"/>
      <c r="D413" s="4" t="s">
        <v>15</v>
      </c>
      <c r="E413" s="4"/>
      <c r="F413" s="4"/>
      <c r="G413" s="4"/>
      <c r="H413" s="4"/>
      <c r="I413" s="4"/>
      <c r="J413" s="4"/>
      <c r="N413" s="34"/>
      <c r="O413" s="3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25"/>
      <c r="C414" s="4"/>
      <c r="D414" s="4" t="s">
        <v>15</v>
      </c>
      <c r="E414" s="4"/>
      <c r="F414" s="4"/>
      <c r="G414" s="4"/>
      <c r="H414" s="4"/>
      <c r="I414" s="4"/>
      <c r="J414" s="4"/>
      <c r="N414" s="34"/>
      <c r="O414" s="3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25"/>
      <c r="C415" s="4"/>
      <c r="D415" s="4" t="s">
        <v>15</v>
      </c>
      <c r="E415" s="4"/>
      <c r="F415" s="4"/>
      <c r="G415" s="4"/>
      <c r="H415" s="4"/>
      <c r="I415" s="4"/>
      <c r="J415" s="4"/>
      <c r="N415" s="34"/>
      <c r="O415" s="3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25"/>
      <c r="C416" s="4"/>
      <c r="D416" s="4" t="s">
        <v>15</v>
      </c>
      <c r="E416" s="4"/>
      <c r="F416" s="4"/>
      <c r="G416" s="4"/>
      <c r="H416" s="4"/>
      <c r="I416" s="4"/>
      <c r="J416" s="4"/>
      <c r="N416" s="34"/>
      <c r="O416" s="3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25"/>
      <c r="C417" s="4"/>
      <c r="D417" s="4" t="s">
        <v>15</v>
      </c>
      <c r="E417" s="4"/>
      <c r="F417" s="4"/>
      <c r="G417" s="4"/>
      <c r="H417" s="4"/>
      <c r="I417" s="4"/>
      <c r="J417" s="4"/>
      <c r="N417" s="34"/>
      <c r="O417" s="3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25"/>
      <c r="C418" s="4"/>
      <c r="D418" s="4" t="s">
        <v>15</v>
      </c>
      <c r="E418" s="4"/>
      <c r="F418" s="4"/>
      <c r="G418" s="4"/>
      <c r="H418" s="4"/>
      <c r="I418" s="4"/>
      <c r="J418" s="4"/>
      <c r="N418" s="34"/>
      <c r="O418" s="3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25"/>
      <c r="C419" s="4"/>
      <c r="D419" s="4" t="s">
        <v>15</v>
      </c>
      <c r="E419" s="4"/>
      <c r="F419" s="4"/>
      <c r="G419" s="4"/>
      <c r="H419" s="4"/>
      <c r="I419" s="4"/>
      <c r="J419" s="4"/>
      <c r="N419" s="34"/>
      <c r="O419" s="3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25"/>
      <c r="C420" s="4"/>
      <c r="D420" s="4" t="s">
        <v>15</v>
      </c>
      <c r="E420" s="4"/>
      <c r="F420" s="4"/>
      <c r="G420" s="4"/>
      <c r="H420" s="4"/>
      <c r="I420" s="4"/>
      <c r="J420" s="4"/>
      <c r="N420" s="34"/>
      <c r="O420" s="3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25"/>
      <c r="C421" s="4"/>
      <c r="D421" s="4" t="s">
        <v>15</v>
      </c>
      <c r="E421" s="4"/>
      <c r="F421" s="4"/>
      <c r="G421" s="4"/>
      <c r="H421" s="4"/>
      <c r="I421" s="4"/>
      <c r="J421" s="4"/>
      <c r="N421" s="34"/>
      <c r="O421" s="3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25"/>
      <c r="C422" s="4"/>
      <c r="D422" s="4" t="s">
        <v>15</v>
      </c>
      <c r="E422" s="4"/>
      <c r="F422" s="4"/>
      <c r="G422" s="4"/>
      <c r="H422" s="4"/>
      <c r="I422" s="4"/>
      <c r="J422" s="4"/>
      <c r="N422" s="34"/>
      <c r="O422" s="3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25"/>
      <c r="C423" s="4"/>
      <c r="D423" s="4" t="s">
        <v>15</v>
      </c>
      <c r="E423" s="4"/>
      <c r="F423" s="4"/>
      <c r="G423" s="4"/>
      <c r="H423" s="4"/>
      <c r="I423" s="4"/>
      <c r="J423" s="4"/>
      <c r="N423" s="34"/>
      <c r="O423" s="3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25"/>
      <c r="C424" s="4"/>
      <c r="D424" s="4" t="s">
        <v>15</v>
      </c>
      <c r="E424" s="4"/>
      <c r="F424" s="4"/>
      <c r="G424" s="4"/>
      <c r="H424" s="4"/>
      <c r="I424" s="4"/>
      <c r="J424" s="4"/>
      <c r="N424" s="34"/>
      <c r="O424" s="3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25"/>
      <c r="C425" s="4"/>
      <c r="D425" s="4" t="s">
        <v>15</v>
      </c>
      <c r="E425" s="4"/>
      <c r="F425" s="4"/>
      <c r="G425" s="4"/>
      <c r="H425" s="4"/>
      <c r="I425" s="4"/>
      <c r="J425" s="4"/>
      <c r="N425" s="34"/>
      <c r="O425" s="3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25"/>
      <c r="C426" s="4"/>
      <c r="D426" s="4" t="s">
        <v>15</v>
      </c>
      <c r="E426" s="4"/>
      <c r="F426" s="4"/>
      <c r="G426" s="4"/>
      <c r="H426" s="4"/>
      <c r="I426" s="4"/>
      <c r="J426" s="4"/>
      <c r="N426" s="34"/>
      <c r="O426" s="3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25"/>
      <c r="C427" s="4"/>
      <c r="D427" s="4" t="s">
        <v>15</v>
      </c>
      <c r="E427" s="4"/>
      <c r="F427" s="4"/>
      <c r="G427" s="4"/>
      <c r="H427" s="4"/>
      <c r="I427" s="4"/>
      <c r="J427" s="4"/>
      <c r="N427" s="34"/>
      <c r="O427" s="3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25"/>
      <c r="C428" s="4"/>
      <c r="D428" s="4" t="s">
        <v>15</v>
      </c>
      <c r="E428" s="4"/>
      <c r="F428" s="4"/>
      <c r="G428" s="4"/>
      <c r="H428" s="4"/>
      <c r="I428" s="4"/>
      <c r="J428" s="4"/>
      <c r="N428" s="34"/>
      <c r="O428" s="3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25"/>
      <c r="C429" s="4"/>
      <c r="D429" s="4" t="s">
        <v>15</v>
      </c>
      <c r="E429" s="4"/>
      <c r="F429" s="4"/>
      <c r="G429" s="4"/>
      <c r="H429" s="4"/>
      <c r="I429" s="4"/>
      <c r="J429" s="4"/>
      <c r="N429" s="34"/>
      <c r="O429" s="3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25"/>
      <c r="C430" s="4"/>
      <c r="D430" s="4" t="s">
        <v>15</v>
      </c>
      <c r="E430" s="4"/>
      <c r="F430" s="4"/>
      <c r="G430" s="4"/>
      <c r="H430" s="4"/>
      <c r="I430" s="4"/>
      <c r="J430" s="4"/>
      <c r="N430" s="34"/>
      <c r="O430" s="3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25"/>
      <c r="C431" s="4"/>
      <c r="D431" s="4" t="s">
        <v>15</v>
      </c>
      <c r="E431" s="4"/>
      <c r="F431" s="4"/>
      <c r="G431" s="4"/>
      <c r="H431" s="4"/>
      <c r="I431" s="4"/>
      <c r="J431" s="4"/>
      <c r="N431" s="34"/>
      <c r="O431" s="3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25"/>
      <c r="C432" s="4"/>
      <c r="D432" s="4" t="s">
        <v>15</v>
      </c>
      <c r="E432" s="4"/>
      <c r="F432" s="4"/>
      <c r="G432" s="4"/>
      <c r="H432" s="4"/>
      <c r="I432" s="4"/>
      <c r="J432" s="4"/>
      <c r="N432" s="34"/>
      <c r="O432" s="3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25"/>
      <c r="C433" s="4"/>
      <c r="D433" s="4" t="s">
        <v>15</v>
      </c>
      <c r="E433" s="4"/>
      <c r="F433" s="4"/>
      <c r="G433" s="4"/>
      <c r="H433" s="4"/>
      <c r="I433" s="4"/>
      <c r="J433" s="4"/>
      <c r="N433" s="34"/>
      <c r="O433" s="3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25"/>
      <c r="C434" s="4"/>
      <c r="D434" s="4" t="s">
        <v>15</v>
      </c>
      <c r="E434" s="4"/>
      <c r="F434" s="4"/>
      <c r="G434" s="4"/>
      <c r="H434" s="4"/>
      <c r="I434" s="4"/>
      <c r="J434" s="4"/>
      <c r="N434" s="34"/>
      <c r="O434" s="3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25"/>
      <c r="C435" s="4"/>
      <c r="D435" s="4" t="s">
        <v>15</v>
      </c>
      <c r="E435" s="4"/>
      <c r="F435" s="4"/>
      <c r="G435" s="4"/>
      <c r="H435" s="4"/>
      <c r="I435" s="4"/>
      <c r="J435" s="4"/>
      <c r="N435" s="34"/>
      <c r="O435" s="3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25"/>
      <c r="C436" s="4"/>
      <c r="D436" s="4" t="s">
        <v>15</v>
      </c>
      <c r="E436" s="4"/>
      <c r="F436" s="4"/>
      <c r="G436" s="4"/>
      <c r="H436" s="4"/>
      <c r="I436" s="4"/>
      <c r="J436" s="4"/>
      <c r="N436" s="34"/>
      <c r="O436" s="3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25"/>
      <c r="C437" s="4"/>
      <c r="D437" s="4" t="s">
        <v>15</v>
      </c>
      <c r="E437" s="4"/>
      <c r="F437" s="4"/>
      <c r="G437" s="4"/>
      <c r="H437" s="4"/>
      <c r="I437" s="4"/>
      <c r="J437" s="4"/>
      <c r="N437" s="34"/>
      <c r="O437" s="3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25"/>
      <c r="C438" s="4"/>
      <c r="D438" s="4" t="s">
        <v>15</v>
      </c>
      <c r="E438" s="4"/>
      <c r="F438" s="4"/>
      <c r="G438" s="4"/>
      <c r="H438" s="4"/>
      <c r="I438" s="4"/>
      <c r="J438" s="4"/>
      <c r="N438" s="34"/>
      <c r="O438" s="3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25"/>
      <c r="C439" s="4"/>
      <c r="D439" s="4" t="s">
        <v>15</v>
      </c>
      <c r="E439" s="4"/>
      <c r="F439" s="4"/>
      <c r="G439" s="4"/>
      <c r="H439" s="4"/>
      <c r="I439" s="4"/>
      <c r="J439" s="4"/>
      <c r="N439" s="34"/>
      <c r="O439" s="3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25"/>
      <c r="C440" s="4"/>
      <c r="D440" s="4" t="s">
        <v>15</v>
      </c>
      <c r="E440" s="4"/>
      <c r="F440" s="4"/>
      <c r="G440" s="4"/>
      <c r="H440" s="4"/>
      <c r="I440" s="4"/>
      <c r="J440" s="4"/>
      <c r="N440" s="34"/>
      <c r="O440" s="3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25"/>
      <c r="C441" s="4"/>
      <c r="D441" s="4" t="s">
        <v>15</v>
      </c>
      <c r="E441" s="4"/>
      <c r="F441" s="4"/>
      <c r="G441" s="4"/>
      <c r="H441" s="4"/>
      <c r="I441" s="4"/>
      <c r="J441" s="4"/>
      <c r="N441" s="34"/>
      <c r="O441" s="3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25"/>
      <c r="C442" s="4"/>
      <c r="D442" s="4" t="s">
        <v>15</v>
      </c>
      <c r="E442" s="4"/>
      <c r="F442" s="4"/>
      <c r="G442" s="4"/>
      <c r="H442" s="4"/>
      <c r="I442" s="4"/>
      <c r="J442" s="4"/>
      <c r="N442" s="34"/>
      <c r="O442" s="3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25"/>
      <c r="C443" s="4"/>
      <c r="D443" s="4" t="s">
        <v>15</v>
      </c>
      <c r="E443" s="4"/>
      <c r="F443" s="4"/>
      <c r="G443" s="4"/>
      <c r="H443" s="4"/>
      <c r="I443" s="4"/>
      <c r="J443" s="4"/>
      <c r="N443" s="34"/>
      <c r="O443" s="3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25"/>
      <c r="C444" s="4"/>
      <c r="D444" s="4" t="s">
        <v>15</v>
      </c>
      <c r="E444" s="4"/>
      <c r="F444" s="4"/>
      <c r="G444" s="4"/>
      <c r="H444" s="4"/>
      <c r="I444" s="4"/>
      <c r="J444" s="4"/>
      <c r="N444" s="34"/>
      <c r="O444" s="3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25"/>
      <c r="C445" s="4"/>
      <c r="D445" s="4" t="s">
        <v>15</v>
      </c>
      <c r="E445" s="4"/>
      <c r="F445" s="4"/>
      <c r="G445" s="4"/>
      <c r="H445" s="4"/>
      <c r="I445" s="4"/>
      <c r="J445" s="4"/>
      <c r="N445" s="34"/>
      <c r="O445" s="3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25"/>
      <c r="C446" s="4"/>
      <c r="D446" s="4" t="s">
        <v>15</v>
      </c>
      <c r="E446" s="4"/>
      <c r="F446" s="4"/>
      <c r="G446" s="4"/>
      <c r="H446" s="4"/>
      <c r="I446" s="4"/>
      <c r="J446" s="4"/>
      <c r="N446" s="34"/>
      <c r="O446" s="3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25"/>
      <c r="C447" s="4"/>
      <c r="D447" s="4" t="s">
        <v>15</v>
      </c>
      <c r="E447" s="4"/>
      <c r="F447" s="4"/>
      <c r="G447" s="4"/>
      <c r="H447" s="4"/>
      <c r="I447" s="4"/>
      <c r="J447" s="4"/>
      <c r="N447" s="34"/>
      <c r="O447" s="3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25"/>
      <c r="C448" s="4"/>
      <c r="D448" s="4" t="s">
        <v>15</v>
      </c>
      <c r="E448" s="4"/>
      <c r="F448" s="4"/>
      <c r="G448" s="4"/>
      <c r="H448" s="4"/>
      <c r="I448" s="4"/>
      <c r="J448" s="4"/>
      <c r="N448" s="34"/>
      <c r="O448" s="3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25"/>
      <c r="C449" s="4"/>
      <c r="D449" s="4" t="s">
        <v>15</v>
      </c>
      <c r="E449" s="4"/>
      <c r="F449" s="4"/>
      <c r="G449" s="4"/>
      <c r="H449" s="4"/>
      <c r="I449" s="4"/>
      <c r="J449" s="4"/>
      <c r="N449" s="34"/>
      <c r="O449" s="3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25"/>
      <c r="C450" s="4"/>
      <c r="D450" s="4" t="s">
        <v>15</v>
      </c>
      <c r="E450" s="4"/>
      <c r="F450" s="4"/>
      <c r="G450" s="4"/>
      <c r="H450" s="4"/>
      <c r="I450" s="4"/>
      <c r="J450" s="4"/>
      <c r="N450" s="34"/>
      <c r="O450" s="3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25"/>
      <c r="C451" s="4"/>
      <c r="D451" s="4" t="s">
        <v>15</v>
      </c>
      <c r="E451" s="4"/>
      <c r="F451" s="4"/>
      <c r="G451" s="4"/>
      <c r="H451" s="4"/>
      <c r="I451" s="4"/>
      <c r="J451" s="4"/>
      <c r="N451" s="34"/>
      <c r="O451" s="3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25"/>
      <c r="C452" s="4"/>
      <c r="D452" s="4" t="s">
        <v>15</v>
      </c>
      <c r="E452" s="4"/>
      <c r="F452" s="4"/>
      <c r="G452" s="4"/>
      <c r="H452" s="4"/>
      <c r="I452" s="4"/>
      <c r="J452" s="4"/>
      <c r="N452" s="34"/>
      <c r="O452" s="3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25"/>
      <c r="C453" s="4"/>
      <c r="D453" s="4" t="s">
        <v>15</v>
      </c>
      <c r="E453" s="4"/>
      <c r="F453" s="4"/>
      <c r="G453" s="4"/>
      <c r="H453" s="4"/>
      <c r="I453" s="4"/>
      <c r="J453" s="4"/>
      <c r="N453" s="34"/>
      <c r="O453" s="3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25"/>
      <c r="C454" s="4"/>
      <c r="D454" s="4" t="s">
        <v>15</v>
      </c>
      <c r="E454" s="4"/>
      <c r="F454" s="4"/>
      <c r="G454" s="4"/>
      <c r="H454" s="4"/>
      <c r="I454" s="4"/>
      <c r="J454" s="4"/>
      <c r="N454" s="34"/>
      <c r="O454" s="3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25"/>
      <c r="C455" s="4"/>
      <c r="D455" s="4" t="s">
        <v>15</v>
      </c>
      <c r="E455" s="4"/>
      <c r="F455" s="4"/>
      <c r="G455" s="4"/>
      <c r="H455" s="4"/>
      <c r="I455" s="4"/>
      <c r="J455" s="4"/>
      <c r="N455" s="34"/>
      <c r="O455" s="3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25"/>
      <c r="C456" s="4"/>
      <c r="D456" s="4" t="s">
        <v>15</v>
      </c>
      <c r="E456" s="4"/>
      <c r="F456" s="4"/>
      <c r="G456" s="4"/>
      <c r="H456" s="4"/>
      <c r="I456" s="4"/>
      <c r="J456" s="4"/>
      <c r="N456" s="34"/>
      <c r="O456" s="3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25"/>
      <c r="C457" s="4"/>
      <c r="D457" s="4" t="s">
        <v>15</v>
      </c>
      <c r="E457" s="4"/>
      <c r="F457" s="4"/>
      <c r="G457" s="4"/>
      <c r="H457" s="4"/>
      <c r="I457" s="4"/>
      <c r="J457" s="4"/>
      <c r="N457" s="34"/>
      <c r="O457" s="3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25"/>
      <c r="C458" s="4"/>
      <c r="D458" s="4" t="s">
        <v>15</v>
      </c>
      <c r="E458" s="4"/>
      <c r="F458" s="4"/>
      <c r="G458" s="4"/>
      <c r="H458" s="4"/>
      <c r="I458" s="4"/>
      <c r="J458" s="4"/>
      <c r="N458" s="34"/>
      <c r="O458" s="3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25"/>
      <c r="C459" s="4"/>
      <c r="D459" s="4" t="s">
        <v>15</v>
      </c>
      <c r="E459" s="4"/>
      <c r="F459" s="4"/>
      <c r="G459" s="4"/>
      <c r="H459" s="4"/>
      <c r="I459" s="4"/>
      <c r="J459" s="4"/>
      <c r="N459" s="34"/>
      <c r="O459" s="3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25"/>
      <c r="C460" s="4"/>
      <c r="D460" s="4" t="s">
        <v>15</v>
      </c>
      <c r="E460" s="4"/>
      <c r="F460" s="4"/>
      <c r="G460" s="4"/>
      <c r="H460" s="4"/>
      <c r="I460" s="4"/>
      <c r="J460" s="4"/>
      <c r="N460" s="34"/>
      <c r="O460" s="3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25"/>
      <c r="C461" s="4"/>
      <c r="D461" s="4" t="s">
        <v>15</v>
      </c>
      <c r="E461" s="4"/>
      <c r="F461" s="4"/>
      <c r="G461" s="4"/>
      <c r="H461" s="4"/>
      <c r="I461" s="4"/>
      <c r="J461" s="4"/>
      <c r="N461" s="34"/>
      <c r="O461" s="3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25"/>
      <c r="C462" s="4"/>
      <c r="D462" s="4" t="s">
        <v>15</v>
      </c>
      <c r="E462" s="4"/>
      <c r="F462" s="4"/>
      <c r="G462" s="4"/>
      <c r="H462" s="4"/>
      <c r="I462" s="4"/>
      <c r="J462" s="4"/>
      <c r="N462" s="34"/>
      <c r="O462" s="3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25"/>
      <c r="C463" s="4"/>
      <c r="D463" s="4" t="s">
        <v>15</v>
      </c>
      <c r="E463" s="4"/>
      <c r="F463" s="4"/>
      <c r="G463" s="4"/>
      <c r="H463" s="4"/>
      <c r="I463" s="4"/>
      <c r="J463" s="4"/>
      <c r="N463" s="34"/>
      <c r="O463" s="3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25"/>
      <c r="C464" s="4"/>
      <c r="D464" s="4" t="s">
        <v>15</v>
      </c>
      <c r="E464" s="4"/>
      <c r="F464" s="4"/>
      <c r="G464" s="4"/>
      <c r="H464" s="4"/>
      <c r="I464" s="4"/>
      <c r="J464" s="4"/>
      <c r="N464" s="34"/>
      <c r="O464" s="3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25"/>
      <c r="C465" s="4"/>
      <c r="D465" s="4" t="s">
        <v>15</v>
      </c>
      <c r="E465" s="4"/>
      <c r="F465" s="4"/>
      <c r="G465" s="4"/>
      <c r="H465" s="4"/>
      <c r="I465" s="4"/>
      <c r="J465" s="4"/>
      <c r="N465" s="34"/>
      <c r="O465" s="3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25"/>
      <c r="C466" s="4"/>
      <c r="D466" s="4" t="s">
        <v>15</v>
      </c>
      <c r="E466" s="4"/>
      <c r="F466" s="4"/>
      <c r="G466" s="4"/>
      <c r="H466" s="4"/>
      <c r="I466" s="4"/>
      <c r="J466" s="4"/>
      <c r="N466" s="34"/>
      <c r="O466" s="3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25"/>
      <c r="C467" s="4"/>
      <c r="D467" s="4" t="s">
        <v>15</v>
      </c>
      <c r="E467" s="4"/>
      <c r="F467" s="4"/>
      <c r="G467" s="4"/>
      <c r="H467" s="4"/>
      <c r="I467" s="4"/>
      <c r="J467" s="4"/>
      <c r="N467" s="34"/>
      <c r="O467" s="3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25"/>
      <c r="C468" s="4"/>
      <c r="D468" s="4" t="s">
        <v>15</v>
      </c>
      <c r="E468" s="4"/>
      <c r="F468" s="4"/>
      <c r="G468" s="4"/>
      <c r="H468" s="4"/>
      <c r="I468" s="4"/>
      <c r="J468" s="4"/>
      <c r="N468" s="34"/>
      <c r="O468" s="3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25"/>
      <c r="C469" s="4"/>
      <c r="D469" s="4" t="s">
        <v>15</v>
      </c>
      <c r="E469" s="4"/>
      <c r="F469" s="4"/>
      <c r="G469" s="4"/>
      <c r="H469" s="4"/>
      <c r="I469" s="4"/>
      <c r="J469" s="4"/>
      <c r="N469" s="34"/>
      <c r="O469" s="3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25"/>
      <c r="C470" s="4"/>
      <c r="D470" s="4" t="s">
        <v>15</v>
      </c>
      <c r="E470" s="4"/>
      <c r="F470" s="4"/>
      <c r="G470" s="4"/>
      <c r="H470" s="4"/>
      <c r="I470" s="4"/>
      <c r="J470" s="4"/>
      <c r="N470" s="34"/>
      <c r="O470" s="3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25"/>
      <c r="C471" s="4"/>
      <c r="D471" s="4" t="s">
        <v>15</v>
      </c>
      <c r="E471" s="4"/>
      <c r="F471" s="4"/>
      <c r="G471" s="4"/>
      <c r="H471" s="4"/>
      <c r="I471" s="4"/>
      <c r="J471" s="4"/>
      <c r="N471" s="34"/>
      <c r="O471" s="3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25"/>
      <c r="C472" s="4"/>
      <c r="D472" s="4" t="s">
        <v>15</v>
      </c>
      <c r="E472" s="4"/>
      <c r="F472" s="4"/>
      <c r="G472" s="4"/>
      <c r="H472" s="4"/>
      <c r="I472" s="4"/>
      <c r="J472" s="4"/>
      <c r="N472" s="34"/>
      <c r="O472" s="3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25"/>
      <c r="C473" s="4"/>
      <c r="D473" s="4" t="s">
        <v>15</v>
      </c>
      <c r="E473" s="4"/>
      <c r="F473" s="4"/>
      <c r="G473" s="4"/>
      <c r="H473" s="4"/>
      <c r="I473" s="4"/>
      <c r="J473" s="4"/>
      <c r="N473" s="34"/>
      <c r="O473" s="3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25"/>
      <c r="C474" s="4"/>
      <c r="D474" s="4" t="s">
        <v>15</v>
      </c>
      <c r="E474" s="4"/>
      <c r="F474" s="4"/>
      <c r="G474" s="4"/>
      <c r="H474" s="4"/>
      <c r="I474" s="4"/>
      <c r="J474" s="4"/>
      <c r="N474" s="34"/>
      <c r="O474" s="3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25"/>
      <c r="C475" s="4"/>
      <c r="D475" s="4" t="s">
        <v>15</v>
      </c>
      <c r="E475" s="4"/>
      <c r="F475" s="4"/>
      <c r="G475" s="4"/>
      <c r="H475" s="4"/>
      <c r="I475" s="4"/>
      <c r="J475" s="4"/>
      <c r="N475" s="34"/>
      <c r="O475" s="3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25"/>
      <c r="C476" s="4"/>
      <c r="D476" s="4" t="s">
        <v>15</v>
      </c>
      <c r="E476" s="4"/>
      <c r="F476" s="4"/>
      <c r="G476" s="4"/>
      <c r="H476" s="4"/>
      <c r="I476" s="4"/>
      <c r="J476" s="4"/>
      <c r="N476" s="34"/>
      <c r="O476" s="3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25"/>
      <c r="C477" s="4"/>
      <c r="D477" s="4" t="s">
        <v>15</v>
      </c>
      <c r="E477" s="4"/>
      <c r="F477" s="4"/>
      <c r="G477" s="4"/>
      <c r="H477" s="4"/>
      <c r="I477" s="4"/>
      <c r="J477" s="4"/>
      <c r="N477" s="34"/>
      <c r="O477" s="3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25"/>
      <c r="C478" s="4"/>
      <c r="D478" s="4" t="s">
        <v>15</v>
      </c>
      <c r="E478" s="4"/>
      <c r="F478" s="4"/>
      <c r="G478" s="4"/>
      <c r="H478" s="4"/>
      <c r="I478" s="4"/>
      <c r="J478" s="4"/>
      <c r="N478" s="34"/>
      <c r="O478" s="3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25"/>
      <c r="C479" s="4"/>
      <c r="D479" s="4" t="s">
        <v>15</v>
      </c>
      <c r="E479" s="4"/>
      <c r="F479" s="4"/>
      <c r="G479" s="4"/>
      <c r="H479" s="4"/>
      <c r="I479" s="4"/>
      <c r="J479" s="4"/>
      <c r="N479" s="34"/>
      <c r="O479" s="3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25"/>
      <c r="C480" s="4"/>
      <c r="D480" s="4" t="s">
        <v>15</v>
      </c>
      <c r="E480" s="4"/>
      <c r="F480" s="4"/>
      <c r="G480" s="4"/>
      <c r="H480" s="4"/>
      <c r="I480" s="4"/>
      <c r="J480" s="4"/>
      <c r="N480" s="34"/>
      <c r="O480" s="3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25"/>
      <c r="C481" s="4"/>
      <c r="D481" s="4" t="s">
        <v>15</v>
      </c>
      <c r="E481" s="4"/>
      <c r="F481" s="4"/>
      <c r="G481" s="4"/>
      <c r="H481" s="4"/>
      <c r="I481" s="4"/>
      <c r="J481" s="4"/>
      <c r="N481" s="34"/>
      <c r="O481" s="3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25"/>
      <c r="C482" s="4"/>
      <c r="D482" s="4" t="s">
        <v>15</v>
      </c>
      <c r="E482" s="4"/>
      <c r="F482" s="4"/>
      <c r="G482" s="4"/>
      <c r="H482" s="4"/>
      <c r="I482" s="4"/>
      <c r="J482" s="4"/>
      <c r="N482" s="34"/>
      <c r="O482" s="3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25"/>
      <c r="C483" s="4"/>
      <c r="D483" s="4" t="s">
        <v>15</v>
      </c>
      <c r="E483" s="4"/>
      <c r="F483" s="4"/>
      <c r="G483" s="4"/>
      <c r="H483" s="4"/>
      <c r="I483" s="4"/>
      <c r="J483" s="4"/>
      <c r="N483" s="34"/>
      <c r="O483" s="3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25"/>
      <c r="C484" s="4"/>
      <c r="D484" s="4" t="s">
        <v>15</v>
      </c>
      <c r="E484" s="4"/>
      <c r="F484" s="4"/>
      <c r="G484" s="4"/>
      <c r="H484" s="4"/>
      <c r="I484" s="4"/>
      <c r="J484" s="4"/>
      <c r="N484" s="34"/>
      <c r="O484" s="3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25"/>
      <c r="C485" s="4"/>
      <c r="D485" s="4" t="s">
        <v>15</v>
      </c>
      <c r="E485" s="4"/>
      <c r="F485" s="4"/>
      <c r="G485" s="4"/>
      <c r="H485" s="4"/>
      <c r="I485" s="4"/>
      <c r="J485" s="4"/>
      <c r="N485" s="34"/>
      <c r="O485" s="3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25"/>
      <c r="C486" s="4"/>
      <c r="D486" s="4" t="s">
        <v>15</v>
      </c>
      <c r="E486" s="4"/>
      <c r="F486" s="4"/>
      <c r="G486" s="4"/>
      <c r="H486" s="4"/>
      <c r="I486" s="4"/>
      <c r="J486" s="4"/>
      <c r="N486" s="34"/>
      <c r="O486" s="3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25"/>
      <c r="C487" s="4"/>
      <c r="D487" s="4" t="s">
        <v>15</v>
      </c>
      <c r="E487" s="4"/>
      <c r="F487" s="4"/>
      <c r="G487" s="4"/>
      <c r="H487" s="4"/>
      <c r="I487" s="4"/>
      <c r="J487" s="4"/>
      <c r="N487" s="34"/>
      <c r="O487" s="3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25"/>
      <c r="C488" s="4"/>
      <c r="D488" s="4" t="s">
        <v>15</v>
      </c>
      <c r="E488" s="4"/>
      <c r="F488" s="4"/>
      <c r="G488" s="4"/>
      <c r="H488" s="4"/>
      <c r="I488" s="4"/>
      <c r="J488" s="4"/>
      <c r="N488" s="34"/>
      <c r="O488" s="3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25"/>
      <c r="C489" s="4"/>
      <c r="D489" s="4" t="s">
        <v>15</v>
      </c>
      <c r="E489" s="4"/>
      <c r="F489" s="4"/>
      <c r="G489" s="4"/>
      <c r="H489" s="4"/>
      <c r="I489" s="4"/>
      <c r="J489" s="4"/>
      <c r="N489" s="34"/>
      <c r="O489" s="3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25"/>
      <c r="C490" s="4"/>
      <c r="D490" s="4" t="s">
        <v>15</v>
      </c>
      <c r="E490" s="4"/>
      <c r="F490" s="4"/>
      <c r="G490" s="4"/>
      <c r="H490" s="4"/>
      <c r="I490" s="4"/>
      <c r="J490" s="4"/>
      <c r="N490" s="34"/>
      <c r="O490" s="3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25"/>
      <c r="C491" s="4"/>
      <c r="D491" s="4" t="s">
        <v>15</v>
      </c>
      <c r="E491" s="4"/>
      <c r="F491" s="4"/>
      <c r="G491" s="4"/>
      <c r="H491" s="4"/>
      <c r="I491" s="4"/>
      <c r="J491" s="4"/>
      <c r="N491" s="34"/>
      <c r="O491" s="3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25"/>
      <c r="C492" s="4"/>
      <c r="D492" s="4" t="s">
        <v>15</v>
      </c>
      <c r="E492" s="4"/>
      <c r="F492" s="4"/>
      <c r="G492" s="4"/>
      <c r="H492" s="4"/>
      <c r="I492" s="4"/>
      <c r="J492" s="4"/>
      <c r="N492" s="34"/>
      <c r="O492" s="3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25"/>
      <c r="C493" s="4"/>
      <c r="D493" s="4" t="s">
        <v>15</v>
      </c>
      <c r="E493" s="4"/>
      <c r="F493" s="4"/>
      <c r="G493" s="4"/>
      <c r="H493" s="4"/>
      <c r="I493" s="4"/>
      <c r="J493" s="4"/>
      <c r="N493" s="34"/>
      <c r="O493" s="3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25"/>
      <c r="C494" s="4"/>
      <c r="D494" s="4" t="s">
        <v>15</v>
      </c>
      <c r="E494" s="4"/>
      <c r="F494" s="4"/>
      <c r="G494" s="4"/>
      <c r="H494" s="4"/>
      <c r="I494" s="4"/>
      <c r="J494" s="4"/>
      <c r="N494" s="34"/>
      <c r="O494" s="3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25"/>
      <c r="C495" s="4"/>
      <c r="D495" s="4" t="s">
        <v>15</v>
      </c>
      <c r="E495" s="4"/>
      <c r="F495" s="4"/>
      <c r="G495" s="4"/>
      <c r="H495" s="4"/>
      <c r="I495" s="4"/>
      <c r="J495" s="4"/>
      <c r="N495" s="34"/>
      <c r="O495" s="3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25"/>
      <c r="C496" s="4"/>
      <c r="D496" s="4" t="s">
        <v>15</v>
      </c>
      <c r="E496" s="4"/>
      <c r="F496" s="4"/>
      <c r="G496" s="4"/>
      <c r="H496" s="4"/>
      <c r="I496" s="4"/>
      <c r="J496" s="4"/>
      <c r="N496" s="34"/>
      <c r="O496" s="3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25"/>
      <c r="C497" s="4"/>
      <c r="D497" s="4" t="s">
        <v>15</v>
      </c>
      <c r="E497" s="4"/>
      <c r="F497" s="4"/>
      <c r="G497" s="4"/>
      <c r="H497" s="4"/>
      <c r="I497" s="4"/>
      <c r="J497" s="4"/>
      <c r="N497" s="34"/>
      <c r="O497" s="3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25"/>
      <c r="C498" s="4"/>
      <c r="D498" s="4" t="s">
        <v>15</v>
      </c>
      <c r="E498" s="4"/>
      <c r="F498" s="4"/>
      <c r="G498" s="4"/>
      <c r="H498" s="4"/>
      <c r="I498" s="4"/>
      <c r="J498" s="4"/>
      <c r="N498" s="34"/>
      <c r="O498" s="3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25"/>
      <c r="C499" s="4"/>
      <c r="D499" s="4" t="s">
        <v>15</v>
      </c>
      <c r="E499" s="4"/>
      <c r="F499" s="4"/>
      <c r="G499" s="4"/>
      <c r="H499" s="4"/>
      <c r="I499" s="4"/>
      <c r="J499" s="4"/>
      <c r="N499" s="34"/>
      <c r="O499" s="3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25"/>
      <c r="C500" s="4"/>
      <c r="D500" s="4" t="s">
        <v>15</v>
      </c>
      <c r="E500" s="4"/>
      <c r="F500" s="4"/>
      <c r="G500" s="4"/>
      <c r="H500" s="4"/>
      <c r="I500" s="4"/>
      <c r="J500" s="4"/>
      <c r="N500" s="34"/>
      <c r="O500" s="3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25"/>
      <c r="C501" s="4"/>
      <c r="D501" s="4" t="s">
        <v>15</v>
      </c>
      <c r="E501" s="4"/>
      <c r="F501" s="4"/>
      <c r="G501" s="4"/>
      <c r="H501" s="4"/>
      <c r="I501" s="4"/>
      <c r="J501" s="4"/>
      <c r="N501" s="34"/>
      <c r="O501" s="3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25"/>
      <c r="C502" s="4"/>
      <c r="D502" s="4" t="s">
        <v>15</v>
      </c>
      <c r="E502" s="4"/>
      <c r="F502" s="4"/>
      <c r="G502" s="4"/>
      <c r="H502" s="4"/>
      <c r="I502" s="4"/>
      <c r="J502" s="4"/>
      <c r="N502" s="34"/>
      <c r="O502" s="3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25"/>
      <c r="C503" s="4"/>
      <c r="D503" s="4" t="s">
        <v>15</v>
      </c>
      <c r="E503" s="4"/>
      <c r="F503" s="4"/>
      <c r="G503" s="4"/>
      <c r="H503" s="4"/>
      <c r="I503" s="4"/>
      <c r="J503" s="4"/>
      <c r="N503" s="34"/>
      <c r="O503" s="3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25"/>
      <c r="C504" s="4"/>
      <c r="D504" s="4" t="s">
        <v>15</v>
      </c>
      <c r="E504" s="4"/>
      <c r="F504" s="4"/>
      <c r="G504" s="4"/>
      <c r="H504" s="4"/>
      <c r="I504" s="4"/>
      <c r="J504" s="4"/>
      <c r="N504" s="34"/>
      <c r="O504" s="3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25"/>
      <c r="C505" s="4"/>
      <c r="D505" s="4" t="s">
        <v>15</v>
      </c>
      <c r="E505" s="4"/>
      <c r="F505" s="4"/>
      <c r="G505" s="4"/>
      <c r="H505" s="4"/>
      <c r="I505" s="4"/>
      <c r="J505" s="4"/>
      <c r="N505" s="34"/>
      <c r="O505" s="3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25"/>
      <c r="C506" s="4"/>
      <c r="D506" s="4" t="s">
        <v>15</v>
      </c>
      <c r="E506" s="4"/>
      <c r="F506" s="4"/>
      <c r="G506" s="4"/>
      <c r="H506" s="4"/>
      <c r="I506" s="4"/>
      <c r="J506" s="4"/>
      <c r="N506" s="34"/>
      <c r="O506" s="3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25"/>
      <c r="C507" s="4"/>
      <c r="D507" s="4" t="s">
        <v>15</v>
      </c>
      <c r="E507" s="4"/>
      <c r="F507" s="4"/>
      <c r="G507" s="4"/>
      <c r="H507" s="4"/>
      <c r="I507" s="4"/>
      <c r="J507" s="4"/>
      <c r="N507" s="34"/>
      <c r="O507" s="3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25"/>
      <c r="C508" s="4"/>
      <c r="D508" s="4" t="s">
        <v>15</v>
      </c>
      <c r="E508" s="4"/>
      <c r="F508" s="4"/>
      <c r="G508" s="4"/>
      <c r="H508" s="4"/>
      <c r="I508" s="4"/>
      <c r="J508" s="4"/>
      <c r="N508" s="34"/>
      <c r="O508" s="3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25"/>
      <c r="C509" s="4"/>
      <c r="D509" s="4" t="s">
        <v>15</v>
      </c>
      <c r="E509" s="4"/>
      <c r="F509" s="4"/>
      <c r="G509" s="4"/>
      <c r="H509" s="4"/>
      <c r="I509" s="4"/>
      <c r="J509" s="4"/>
      <c r="N509" s="34"/>
      <c r="O509" s="3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25"/>
      <c r="C510" s="4"/>
      <c r="D510" s="4" t="s">
        <v>15</v>
      </c>
      <c r="E510" s="4"/>
      <c r="F510" s="4"/>
      <c r="G510" s="4"/>
      <c r="H510" s="4"/>
      <c r="I510" s="4"/>
      <c r="J510" s="4"/>
      <c r="N510" s="34"/>
      <c r="O510" s="3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25"/>
      <c r="C511" s="4"/>
      <c r="D511" s="4" t="s">
        <v>15</v>
      </c>
      <c r="E511" s="4"/>
      <c r="F511" s="4"/>
      <c r="G511" s="4"/>
      <c r="H511" s="4"/>
      <c r="I511" s="4"/>
      <c r="J511" s="4"/>
      <c r="N511" s="34"/>
      <c r="O511" s="3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25"/>
      <c r="C512" s="4"/>
      <c r="D512" s="4" t="s">
        <v>15</v>
      </c>
      <c r="E512" s="4"/>
      <c r="F512" s="4"/>
      <c r="G512" s="4"/>
      <c r="H512" s="4"/>
      <c r="I512" s="4"/>
      <c r="J512" s="4"/>
      <c r="N512" s="34"/>
      <c r="O512" s="3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25"/>
      <c r="C513" s="4"/>
      <c r="D513" s="4" t="s">
        <v>15</v>
      </c>
      <c r="E513" s="4"/>
      <c r="F513" s="4"/>
      <c r="G513" s="4"/>
      <c r="H513" s="4"/>
      <c r="I513" s="4"/>
      <c r="J513" s="4"/>
      <c r="N513" s="34"/>
      <c r="O513" s="3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25"/>
      <c r="C514" s="4"/>
      <c r="D514" s="4" t="s">
        <v>15</v>
      </c>
      <c r="E514" s="4"/>
      <c r="F514" s="4"/>
      <c r="G514" s="4"/>
      <c r="H514" s="4"/>
      <c r="I514" s="4"/>
      <c r="J514" s="4"/>
      <c r="N514" s="34"/>
      <c r="O514" s="3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25"/>
      <c r="C515" s="4"/>
      <c r="D515" s="4" t="s">
        <v>15</v>
      </c>
      <c r="E515" s="4"/>
      <c r="F515" s="4"/>
      <c r="G515" s="4"/>
      <c r="H515" s="4"/>
      <c r="I515" s="4"/>
      <c r="J515" s="4"/>
      <c r="N515" s="34"/>
      <c r="O515" s="3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25"/>
      <c r="C516" s="4"/>
      <c r="D516" s="4" t="s">
        <v>15</v>
      </c>
      <c r="E516" s="4"/>
      <c r="F516" s="4"/>
      <c r="G516" s="4"/>
      <c r="H516" s="4"/>
      <c r="I516" s="4"/>
      <c r="J516" s="4"/>
      <c r="N516" s="34"/>
      <c r="O516" s="3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25"/>
      <c r="C517" s="4"/>
      <c r="D517" s="4" t="s">
        <v>15</v>
      </c>
      <c r="E517" s="4"/>
      <c r="F517" s="4"/>
      <c r="G517" s="4"/>
      <c r="H517" s="4"/>
      <c r="I517" s="4"/>
      <c r="J517" s="4"/>
      <c r="N517" s="34"/>
      <c r="O517" s="3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25"/>
      <c r="C518" s="4"/>
      <c r="D518" s="4" t="s">
        <v>15</v>
      </c>
      <c r="E518" s="4"/>
      <c r="F518" s="4"/>
      <c r="G518" s="4"/>
      <c r="H518" s="4"/>
      <c r="I518" s="4"/>
      <c r="J518" s="4"/>
      <c r="N518" s="34"/>
      <c r="O518" s="3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25"/>
      <c r="C519" s="4"/>
      <c r="D519" s="4" t="s">
        <v>15</v>
      </c>
      <c r="E519" s="4"/>
      <c r="F519" s="4"/>
      <c r="G519" s="4"/>
      <c r="H519" s="4"/>
      <c r="I519" s="4"/>
      <c r="J519" s="4"/>
      <c r="N519" s="34"/>
      <c r="O519" s="3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25"/>
      <c r="C520" s="4"/>
      <c r="D520" s="4" t="s">
        <v>15</v>
      </c>
      <c r="E520" s="4"/>
      <c r="F520" s="4"/>
      <c r="G520" s="4"/>
      <c r="H520" s="4"/>
      <c r="I520" s="4"/>
      <c r="J520" s="4"/>
      <c r="N520" s="34"/>
      <c r="O520" s="3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25"/>
      <c r="C521" s="4"/>
      <c r="D521" s="4" t="s">
        <v>15</v>
      </c>
      <c r="E521" s="4"/>
      <c r="F521" s="4"/>
      <c r="G521" s="4"/>
      <c r="H521" s="4"/>
      <c r="I521" s="4"/>
      <c r="J521" s="4"/>
      <c r="N521" s="34"/>
      <c r="O521" s="3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25"/>
      <c r="C522" s="4"/>
      <c r="D522" s="4" t="s">
        <v>15</v>
      </c>
      <c r="E522" s="4"/>
      <c r="F522" s="4"/>
      <c r="G522" s="4"/>
      <c r="H522" s="4"/>
      <c r="I522" s="4"/>
      <c r="J522" s="4"/>
      <c r="N522" s="34"/>
      <c r="O522" s="3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25"/>
      <c r="C523" s="4"/>
      <c r="D523" s="4" t="s">
        <v>15</v>
      </c>
      <c r="E523" s="4"/>
      <c r="F523" s="4"/>
      <c r="G523" s="4"/>
      <c r="H523" s="4"/>
      <c r="I523" s="4"/>
      <c r="J523" s="4"/>
      <c r="N523" s="34"/>
      <c r="O523" s="3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25"/>
      <c r="C524" s="4"/>
      <c r="D524" s="4" t="s">
        <v>15</v>
      </c>
      <c r="E524" s="4"/>
      <c r="F524" s="4"/>
      <c r="G524" s="4"/>
      <c r="H524" s="4"/>
      <c r="I524" s="4"/>
      <c r="J524" s="4"/>
      <c r="N524" s="34"/>
      <c r="O524" s="3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25"/>
      <c r="C525" s="4"/>
      <c r="D525" s="4" t="s">
        <v>15</v>
      </c>
      <c r="E525" s="4"/>
      <c r="F525" s="4"/>
      <c r="G525" s="4"/>
      <c r="H525" s="4"/>
      <c r="I525" s="4"/>
      <c r="J525" s="4"/>
      <c r="N525" s="34"/>
      <c r="O525" s="3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25"/>
      <c r="C526" s="4"/>
      <c r="D526" s="4" t="s">
        <v>15</v>
      </c>
      <c r="E526" s="4"/>
      <c r="F526" s="4"/>
      <c r="G526" s="4"/>
      <c r="H526" s="4"/>
      <c r="I526" s="4"/>
      <c r="J526" s="4"/>
      <c r="N526" s="34"/>
      <c r="O526" s="3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25"/>
      <c r="C527" s="4"/>
      <c r="D527" s="4" t="s">
        <v>15</v>
      </c>
      <c r="E527" s="4"/>
      <c r="F527" s="4"/>
      <c r="G527" s="4"/>
      <c r="H527" s="4"/>
      <c r="I527" s="4"/>
      <c r="J527" s="4"/>
      <c r="N527" s="34"/>
      <c r="O527" s="3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25"/>
      <c r="C528" s="4"/>
      <c r="D528" s="4" t="s">
        <v>15</v>
      </c>
      <c r="E528" s="4"/>
      <c r="F528" s="4"/>
      <c r="G528" s="4"/>
      <c r="H528" s="4"/>
      <c r="I528" s="4"/>
      <c r="J528" s="4"/>
      <c r="N528" s="34"/>
      <c r="O528" s="3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25"/>
      <c r="C529" s="4"/>
      <c r="D529" s="4" t="s">
        <v>15</v>
      </c>
      <c r="E529" s="4"/>
      <c r="F529" s="4"/>
      <c r="G529" s="4"/>
      <c r="H529" s="4"/>
      <c r="I529" s="4"/>
      <c r="J529" s="4"/>
      <c r="N529" s="34"/>
      <c r="O529" s="3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25"/>
      <c r="C530" s="4"/>
      <c r="D530" s="4" t="s">
        <v>15</v>
      </c>
      <c r="E530" s="4"/>
      <c r="F530" s="4"/>
      <c r="G530" s="4"/>
      <c r="H530" s="4"/>
      <c r="I530" s="4"/>
      <c r="J530" s="4"/>
      <c r="N530" s="34"/>
      <c r="O530" s="3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25"/>
      <c r="C531" s="4"/>
      <c r="D531" s="4" t="s">
        <v>15</v>
      </c>
      <c r="E531" s="4"/>
      <c r="F531" s="4"/>
      <c r="G531" s="4"/>
      <c r="H531" s="4"/>
      <c r="I531" s="4"/>
      <c r="J531" s="4"/>
      <c r="N531" s="34"/>
      <c r="O531" s="3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25"/>
      <c r="C532" s="4"/>
      <c r="D532" s="4" t="s">
        <v>15</v>
      </c>
      <c r="E532" s="4"/>
      <c r="F532" s="4"/>
      <c r="G532" s="4"/>
      <c r="H532" s="4"/>
      <c r="I532" s="4"/>
      <c r="J532" s="4"/>
      <c r="N532" s="34"/>
      <c r="O532" s="3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25"/>
      <c r="C533" s="4"/>
      <c r="D533" s="4" t="s">
        <v>15</v>
      </c>
      <c r="E533" s="4"/>
      <c r="F533" s="4"/>
      <c r="G533" s="4"/>
      <c r="H533" s="4"/>
      <c r="I533" s="4"/>
      <c r="J533" s="4"/>
      <c r="N533" s="34"/>
      <c r="O533" s="3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25"/>
      <c r="C534" s="4"/>
      <c r="D534" s="4" t="s">
        <v>15</v>
      </c>
      <c r="E534" s="4"/>
      <c r="F534" s="4"/>
      <c r="G534" s="4"/>
      <c r="H534" s="4"/>
      <c r="I534" s="4"/>
      <c r="J534" s="4"/>
      <c r="N534" s="34"/>
      <c r="O534" s="3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25"/>
      <c r="C535" s="4"/>
      <c r="D535" s="4" t="s">
        <v>15</v>
      </c>
      <c r="E535" s="4"/>
      <c r="F535" s="4"/>
      <c r="G535" s="4"/>
      <c r="H535" s="4"/>
      <c r="I535" s="4"/>
      <c r="J535" s="4"/>
      <c r="N535" s="34"/>
      <c r="O535" s="3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25"/>
      <c r="C536" s="4"/>
      <c r="D536" s="4" t="s">
        <v>15</v>
      </c>
      <c r="E536" s="4"/>
      <c r="F536" s="4"/>
      <c r="G536" s="4"/>
      <c r="H536" s="4"/>
      <c r="I536" s="4"/>
      <c r="J536" s="4"/>
      <c r="N536" s="34"/>
      <c r="O536" s="3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25"/>
      <c r="C537" s="4"/>
      <c r="D537" s="4" t="s">
        <v>15</v>
      </c>
      <c r="E537" s="4"/>
      <c r="F537" s="4"/>
      <c r="G537" s="4"/>
      <c r="H537" s="4"/>
      <c r="I537" s="4"/>
      <c r="J537" s="4"/>
      <c r="N537" s="34"/>
      <c r="O537" s="3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25"/>
      <c r="C538" s="4"/>
      <c r="D538" s="4" t="s">
        <v>15</v>
      </c>
      <c r="E538" s="4"/>
      <c r="F538" s="4"/>
      <c r="G538" s="4"/>
      <c r="H538" s="4"/>
      <c r="I538" s="4"/>
      <c r="J538" s="4"/>
      <c r="N538" s="34"/>
      <c r="O538" s="3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25"/>
      <c r="C539" s="4"/>
      <c r="D539" s="4" t="s">
        <v>15</v>
      </c>
      <c r="E539" s="4"/>
      <c r="F539" s="4"/>
      <c r="G539" s="4"/>
      <c r="H539" s="4"/>
      <c r="I539" s="4"/>
      <c r="J539" s="4"/>
      <c r="N539" s="34"/>
      <c r="O539" s="3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25"/>
      <c r="C540" s="4"/>
      <c r="D540" s="4" t="s">
        <v>15</v>
      </c>
      <c r="E540" s="4"/>
      <c r="F540" s="4"/>
      <c r="G540" s="4"/>
      <c r="H540" s="4"/>
      <c r="I540" s="4"/>
      <c r="J540" s="4"/>
      <c r="N540" s="34"/>
      <c r="O540" s="3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25"/>
      <c r="C541" s="4"/>
      <c r="D541" s="4" t="s">
        <v>15</v>
      </c>
      <c r="E541" s="4"/>
      <c r="F541" s="4"/>
      <c r="G541" s="4"/>
      <c r="H541" s="4"/>
      <c r="I541" s="4"/>
      <c r="J541" s="4"/>
      <c r="N541" s="34"/>
      <c r="O541" s="3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25"/>
      <c r="C542" s="4"/>
      <c r="D542" s="4" t="s">
        <v>15</v>
      </c>
      <c r="E542" s="4"/>
      <c r="F542" s="4"/>
      <c r="G542" s="4"/>
      <c r="H542" s="4"/>
      <c r="I542" s="4"/>
      <c r="J542" s="4"/>
      <c r="N542" s="34"/>
      <c r="O542" s="3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25"/>
      <c r="C543" s="4"/>
      <c r="D543" s="4" t="s">
        <v>15</v>
      </c>
      <c r="E543" s="4"/>
      <c r="F543" s="4"/>
      <c r="G543" s="4"/>
      <c r="H543" s="4"/>
      <c r="I543" s="4"/>
      <c r="J543" s="4"/>
      <c r="N543" s="34"/>
      <c r="O543" s="3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25"/>
      <c r="C544" s="4"/>
      <c r="D544" s="4" t="s">
        <v>15</v>
      </c>
      <c r="E544" s="4"/>
      <c r="F544" s="4"/>
      <c r="G544" s="4"/>
      <c r="H544" s="4"/>
      <c r="I544" s="4"/>
      <c r="J544" s="4"/>
      <c r="N544" s="34"/>
      <c r="O544" s="3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25"/>
      <c r="C545" s="4"/>
      <c r="D545" s="4" t="s">
        <v>15</v>
      </c>
      <c r="E545" s="4"/>
      <c r="F545" s="4"/>
      <c r="G545" s="4"/>
      <c r="H545" s="4"/>
      <c r="I545" s="4"/>
      <c r="J545" s="4"/>
      <c r="N545" s="34"/>
      <c r="O545" s="3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25"/>
      <c r="C546" s="4"/>
      <c r="D546" s="4" t="s">
        <v>15</v>
      </c>
      <c r="E546" s="4"/>
      <c r="F546" s="4"/>
      <c r="G546" s="4"/>
      <c r="H546" s="4"/>
      <c r="I546" s="4"/>
      <c r="J546" s="4"/>
      <c r="N546" s="34"/>
      <c r="O546" s="3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25"/>
      <c r="C547" s="4"/>
      <c r="D547" s="4" t="s">
        <v>15</v>
      </c>
      <c r="E547" s="4"/>
      <c r="F547" s="4"/>
      <c r="G547" s="4"/>
      <c r="H547" s="4"/>
      <c r="I547" s="4"/>
      <c r="J547" s="4"/>
      <c r="N547" s="34"/>
      <c r="O547" s="3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25"/>
      <c r="C548" s="4"/>
      <c r="D548" s="4" t="s">
        <v>15</v>
      </c>
      <c r="E548" s="4"/>
      <c r="F548" s="4"/>
      <c r="G548" s="4"/>
      <c r="H548" s="4"/>
      <c r="I548" s="4"/>
      <c r="J548" s="4"/>
      <c r="N548" s="34"/>
      <c r="O548" s="3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25"/>
      <c r="C549" s="4"/>
      <c r="D549" s="4" t="s">
        <v>15</v>
      </c>
      <c r="E549" s="4"/>
      <c r="F549" s="4"/>
      <c r="G549" s="4"/>
      <c r="H549" s="4"/>
      <c r="I549" s="4"/>
      <c r="J549" s="4"/>
      <c r="N549" s="34"/>
      <c r="O549" s="3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25"/>
      <c r="C550" s="4"/>
      <c r="D550" s="4" t="s">
        <v>15</v>
      </c>
      <c r="E550" s="4"/>
      <c r="F550" s="4"/>
      <c r="G550" s="4"/>
      <c r="H550" s="4"/>
      <c r="I550" s="4"/>
      <c r="J550" s="4"/>
      <c r="N550" s="34"/>
      <c r="O550" s="3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25"/>
      <c r="C551" s="4"/>
      <c r="D551" s="4" t="s">
        <v>15</v>
      </c>
      <c r="E551" s="4"/>
      <c r="F551" s="4"/>
      <c r="G551" s="4"/>
      <c r="H551" s="4"/>
      <c r="I551" s="4"/>
      <c r="J551" s="4"/>
      <c r="N551" s="34"/>
      <c r="O551" s="3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25"/>
      <c r="C552" s="4"/>
      <c r="D552" s="4" t="s">
        <v>15</v>
      </c>
      <c r="E552" s="4"/>
      <c r="F552" s="4"/>
      <c r="G552" s="4"/>
      <c r="H552" s="4"/>
      <c r="I552" s="4"/>
      <c r="J552" s="4"/>
      <c r="N552" s="34"/>
      <c r="O552" s="3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25"/>
      <c r="C553" s="4"/>
      <c r="D553" s="4" t="s">
        <v>15</v>
      </c>
      <c r="E553" s="4"/>
      <c r="F553" s="4"/>
      <c r="G553" s="4"/>
      <c r="H553" s="4"/>
      <c r="I553" s="4"/>
      <c r="J553" s="4"/>
      <c r="N553" s="34"/>
      <c r="O553" s="3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25"/>
      <c r="C554" s="4"/>
      <c r="D554" s="4" t="s">
        <v>15</v>
      </c>
      <c r="E554" s="4"/>
      <c r="F554" s="4"/>
      <c r="G554" s="4"/>
      <c r="H554" s="4"/>
      <c r="I554" s="4"/>
      <c r="J554" s="4"/>
      <c r="N554" s="34"/>
      <c r="O554" s="3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25"/>
      <c r="C555" s="4"/>
      <c r="D555" s="4" t="s">
        <v>15</v>
      </c>
      <c r="E555" s="4"/>
      <c r="F555" s="4"/>
      <c r="G555" s="4"/>
      <c r="H555" s="4"/>
      <c r="I555" s="4"/>
      <c r="J555" s="4"/>
      <c r="N555" s="34"/>
      <c r="O555" s="3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25"/>
      <c r="C556" s="4"/>
      <c r="D556" s="4" t="s">
        <v>15</v>
      </c>
      <c r="E556" s="4"/>
      <c r="F556" s="4"/>
      <c r="G556" s="4"/>
      <c r="H556" s="4"/>
      <c r="I556" s="4"/>
      <c r="J556" s="4"/>
      <c r="N556" s="34"/>
      <c r="O556" s="3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25"/>
      <c r="C557" s="4"/>
      <c r="D557" s="4" t="s">
        <v>15</v>
      </c>
      <c r="E557" s="4"/>
      <c r="F557" s="4"/>
      <c r="G557" s="4"/>
      <c r="H557" s="4"/>
      <c r="I557" s="4"/>
      <c r="J557" s="4"/>
      <c r="N557" s="34"/>
      <c r="O557" s="3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25"/>
      <c r="C558" s="4"/>
      <c r="D558" s="4" t="s">
        <v>15</v>
      </c>
      <c r="E558" s="4"/>
      <c r="F558" s="4"/>
      <c r="G558" s="4"/>
      <c r="H558" s="4"/>
      <c r="I558" s="4"/>
      <c r="J558" s="4"/>
      <c r="N558" s="34"/>
      <c r="O558" s="3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25"/>
      <c r="C559" s="4"/>
      <c r="D559" s="4" t="s">
        <v>15</v>
      </c>
      <c r="E559" s="4"/>
      <c r="F559" s="4"/>
      <c r="G559" s="4"/>
      <c r="H559" s="4"/>
      <c r="I559" s="4"/>
      <c r="J559" s="4"/>
      <c r="N559" s="34"/>
      <c r="O559" s="3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25"/>
      <c r="C560" s="4"/>
      <c r="D560" s="4" t="s">
        <v>15</v>
      </c>
      <c r="E560" s="4"/>
      <c r="F560" s="4"/>
      <c r="G560" s="4"/>
      <c r="H560" s="4"/>
      <c r="I560" s="4"/>
      <c r="J560" s="4"/>
      <c r="N560" s="34"/>
      <c r="O560" s="3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25"/>
      <c r="C561" s="4"/>
      <c r="D561" s="4" t="s">
        <v>15</v>
      </c>
      <c r="E561" s="4"/>
      <c r="F561" s="4"/>
      <c r="G561" s="4"/>
      <c r="H561" s="4"/>
      <c r="I561" s="4"/>
      <c r="J561" s="4"/>
      <c r="N561" s="34"/>
      <c r="O561" s="3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25"/>
      <c r="C562" s="4"/>
      <c r="D562" s="4" t="s">
        <v>15</v>
      </c>
      <c r="E562" s="4"/>
      <c r="F562" s="4"/>
      <c r="G562" s="4"/>
      <c r="H562" s="4"/>
      <c r="I562" s="4"/>
      <c r="J562" s="4"/>
      <c r="N562" s="34"/>
      <c r="O562" s="3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25"/>
      <c r="C563" s="4"/>
      <c r="D563" s="4" t="s">
        <v>15</v>
      </c>
      <c r="E563" s="4"/>
      <c r="F563" s="4"/>
      <c r="G563" s="4"/>
      <c r="H563" s="4"/>
      <c r="I563" s="4"/>
      <c r="J563" s="4"/>
      <c r="N563" s="34"/>
      <c r="O563" s="3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25"/>
      <c r="C564" s="4"/>
      <c r="D564" s="4" t="s">
        <v>15</v>
      </c>
      <c r="E564" s="4"/>
      <c r="F564" s="4"/>
      <c r="G564" s="4"/>
      <c r="H564" s="4"/>
      <c r="I564" s="4"/>
      <c r="J564" s="4"/>
      <c r="N564" s="34"/>
      <c r="O564" s="3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25"/>
      <c r="C565" s="4"/>
      <c r="D565" s="4" t="s">
        <v>15</v>
      </c>
      <c r="E565" s="4"/>
      <c r="F565" s="4"/>
      <c r="G565" s="4"/>
      <c r="H565" s="4"/>
      <c r="I565" s="4"/>
      <c r="J565" s="4"/>
      <c r="N565" s="34"/>
      <c r="O565" s="3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25"/>
      <c r="C566" s="4"/>
      <c r="D566" s="4" t="s">
        <v>15</v>
      </c>
      <c r="E566" s="4"/>
      <c r="F566" s="4"/>
      <c r="G566" s="4"/>
      <c r="H566" s="4"/>
      <c r="I566" s="4"/>
      <c r="J566" s="4"/>
      <c r="N566" s="34"/>
      <c r="O566" s="3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25"/>
      <c r="C567" s="4"/>
      <c r="D567" s="4" t="s">
        <v>15</v>
      </c>
      <c r="E567" s="4"/>
      <c r="F567" s="4"/>
      <c r="G567" s="4"/>
      <c r="H567" s="4"/>
      <c r="I567" s="4"/>
      <c r="J567" s="4"/>
      <c r="N567" s="34"/>
      <c r="O567" s="3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25"/>
      <c r="C568" s="4"/>
      <c r="D568" s="4" t="s">
        <v>15</v>
      </c>
      <c r="E568" s="4"/>
      <c r="F568" s="4"/>
      <c r="G568" s="4"/>
      <c r="H568" s="4"/>
      <c r="I568" s="4"/>
      <c r="J568" s="4"/>
      <c r="N568" s="34"/>
      <c r="O568" s="3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25"/>
      <c r="C569" s="4"/>
      <c r="D569" s="4" t="s">
        <v>15</v>
      </c>
      <c r="E569" s="4"/>
      <c r="F569" s="4"/>
      <c r="G569" s="4"/>
      <c r="H569" s="4"/>
      <c r="I569" s="4"/>
      <c r="J569" s="4"/>
      <c r="N569" s="34"/>
      <c r="O569" s="3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</sheetData>
  <dataValidations>
    <dataValidation type="list" allowBlank="1" showErrorMessage="1" sqref="B2">
      <formula1>"Signia-White,Signia-Grey,Fabio-White,Fabio-Black,Magnus-White,Magnus-Grey,Norisys-White,Norisys-Grey,Norisys-Black,Apogee-Black,Apogee-White,Apogee-Grey,Adiva White"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8.5"/>
    <col customWidth="1" min="3" max="3" width="4.5"/>
    <col customWidth="1" min="4" max="4" width="9.5"/>
    <col customWidth="1" min="5" max="5" width="8.25"/>
    <col customWidth="1" min="6" max="6" width="10.13"/>
  </cols>
  <sheetData>
    <row r="1">
      <c r="A1" s="35"/>
      <c r="B1" s="35"/>
      <c r="C1" s="36"/>
      <c r="D1" s="37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ht="24.0" customHeight="1">
      <c r="A2" s="35"/>
      <c r="B2" s="35"/>
      <c r="C2" s="37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5"/>
      <c r="B3" s="35"/>
      <c r="C3" s="39" t="s">
        <v>16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35"/>
      <c r="B4" s="40" t="str">
        <f>"To: "&amp; Quotation!B8</f>
        <v>To: CAS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41"/>
      <c r="B5" s="42" t="str">
        <f>"Phone: "&amp;Quotation!B9</f>
        <v>Phone: </v>
      </c>
      <c r="C5" s="39"/>
      <c r="D5" s="39"/>
      <c r="E5" s="43" t="str">
        <f>"Date: "&amp; TEXT(TODAY(),"dd-mm-yyyy")</f>
        <v>Date: 01-07-2026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ht="15.75" customHeight="1">
      <c r="A6" s="41"/>
      <c r="B6" s="44">
        <f>Quotation!B10</f>
        <v>38</v>
      </c>
      <c r="C6" s="42"/>
      <c r="D6" s="35"/>
      <c r="E6" s="45" t="str">
        <f>"Series: "&amp;Quotation!B2</f>
        <v>Series: Signia-Grey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46"/>
      <c r="B7" s="47" t="s">
        <v>17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ht="18.0" customHeight="1">
      <c r="A8" s="48"/>
      <c r="B8" s="49" t="s">
        <v>8</v>
      </c>
      <c r="C8" s="50" t="s">
        <v>9</v>
      </c>
      <c r="D8" s="50" t="s">
        <v>11</v>
      </c>
      <c r="E8" s="51" t="s">
        <v>13</v>
      </c>
      <c r="F8" s="51" t="s">
        <v>14</v>
      </c>
      <c r="G8" s="38"/>
      <c r="H8" s="38"/>
      <c r="I8" s="52"/>
      <c r="J8" s="52"/>
      <c r="K8" s="52"/>
      <c r="L8" s="52"/>
      <c r="M8" s="52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ht="18.0" customHeight="1">
      <c r="A9" s="53"/>
      <c r="B9" s="54" t="s">
        <v>18</v>
      </c>
      <c r="C9" s="55">
        <v>145.0</v>
      </c>
      <c r="D9" s="55">
        <v>540.0</v>
      </c>
      <c r="E9" s="56">
        <v>351.0</v>
      </c>
      <c r="F9" s="56">
        <v>50895.0</v>
      </c>
      <c r="G9" s="38"/>
      <c r="H9" s="38"/>
      <c r="I9" s="57"/>
      <c r="J9" s="57"/>
      <c r="K9" s="57"/>
      <c r="L9" s="57"/>
      <c r="M9" s="57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ht="18.0" customHeight="1">
      <c r="A10" s="53"/>
      <c r="B10" s="54" t="s">
        <v>19</v>
      </c>
      <c r="C10" s="55">
        <v>18.0</v>
      </c>
      <c r="D10" s="55">
        <v>597.0</v>
      </c>
      <c r="E10" s="56">
        <v>388.05</v>
      </c>
      <c r="F10" s="56">
        <v>6984.9</v>
      </c>
      <c r="G10" s="38"/>
      <c r="H10" s="38"/>
      <c r="I10" s="57"/>
      <c r="J10" s="57"/>
      <c r="K10" s="57"/>
      <c r="L10" s="57"/>
      <c r="M10" s="57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ht="18.0" customHeight="1">
      <c r="A11" s="53"/>
      <c r="B11" s="54" t="s">
        <v>20</v>
      </c>
      <c r="C11" s="55">
        <v>15.0</v>
      </c>
      <c r="D11" s="55">
        <v>635.0</v>
      </c>
      <c r="E11" s="56">
        <v>412.75</v>
      </c>
      <c r="F11" s="56">
        <v>6191.25</v>
      </c>
      <c r="G11" s="38"/>
      <c r="H11" s="38"/>
      <c r="I11" s="57"/>
      <c r="J11" s="57"/>
      <c r="K11" s="57"/>
      <c r="L11" s="57"/>
      <c r="M11" s="57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ht="18.0" customHeight="1">
      <c r="A12" s="53"/>
      <c r="B12" s="54" t="s">
        <v>21</v>
      </c>
      <c r="C12" s="55">
        <v>1.0</v>
      </c>
      <c r="D12" s="55">
        <v>1147.0</v>
      </c>
      <c r="E12" s="56">
        <v>745.55</v>
      </c>
      <c r="F12" s="56">
        <v>745.55</v>
      </c>
      <c r="G12" s="38"/>
      <c r="H12" s="38"/>
      <c r="I12" s="57"/>
      <c r="J12" s="57"/>
      <c r="K12" s="57"/>
      <c r="L12" s="57"/>
      <c r="M12" s="57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ht="18.0" customHeight="1">
      <c r="A13" s="53"/>
      <c r="B13" s="54" t="s">
        <v>22</v>
      </c>
      <c r="C13" s="55">
        <v>65.0</v>
      </c>
      <c r="D13" s="55">
        <v>1272.0</v>
      </c>
      <c r="E13" s="56">
        <v>826.8</v>
      </c>
      <c r="F13" s="56">
        <v>53742.0</v>
      </c>
      <c r="G13" s="38"/>
      <c r="H13" s="38"/>
      <c r="I13" s="57"/>
      <c r="J13" s="57"/>
      <c r="K13" s="57"/>
      <c r="L13" s="57"/>
      <c r="M13" s="57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ht="18.0" customHeight="1">
      <c r="A14" s="53"/>
      <c r="B14" s="54" t="s">
        <v>23</v>
      </c>
      <c r="C14" s="55">
        <v>15.0</v>
      </c>
      <c r="D14" s="55">
        <v>1641.0</v>
      </c>
      <c r="E14" s="56">
        <v>1066.65</v>
      </c>
      <c r="F14" s="56">
        <v>15999.75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ht="18.0" customHeight="1">
      <c r="A15" s="53"/>
      <c r="B15" s="54" t="s">
        <v>24</v>
      </c>
      <c r="C15" s="55">
        <v>8.0</v>
      </c>
      <c r="D15" s="55">
        <v>1962.0</v>
      </c>
      <c r="E15" s="56">
        <v>1275.3</v>
      </c>
      <c r="F15" s="56">
        <v>10202.4</v>
      </c>
      <c r="G15" s="38"/>
      <c r="H15" s="38"/>
      <c r="I15" s="58"/>
      <c r="N15" s="59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ht="18.0" customHeight="1">
      <c r="A16" s="60"/>
      <c r="B16" s="61" t="s">
        <v>25</v>
      </c>
      <c r="C16" s="55">
        <v>4.0</v>
      </c>
      <c r="D16" s="55">
        <v>2591.0</v>
      </c>
      <c r="E16" s="56">
        <v>1684.15</v>
      </c>
      <c r="F16" s="56">
        <v>6736.6</v>
      </c>
      <c r="G16" s="38"/>
      <c r="H16" s="38"/>
      <c r="I16" s="58"/>
      <c r="J16" s="58"/>
      <c r="K16" s="58"/>
      <c r="L16" s="58"/>
      <c r="M16" s="58"/>
      <c r="N16" s="59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ht="18.0" customHeight="1">
      <c r="A17" s="60"/>
      <c r="B17" s="61"/>
      <c r="C17" s="55"/>
      <c r="D17" s="55"/>
      <c r="E17" s="56"/>
      <c r="F17" s="56"/>
      <c r="G17" s="38"/>
      <c r="H17" s="38"/>
      <c r="I17" s="35"/>
      <c r="N17" s="59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ht="18.0" customHeight="1">
      <c r="A18" s="60"/>
      <c r="B18" s="61"/>
      <c r="C18" s="55"/>
      <c r="D18" s="55"/>
      <c r="E18" s="56" t="s">
        <v>26</v>
      </c>
      <c r="F18" s="56">
        <v>151497.45</v>
      </c>
      <c r="G18" s="38"/>
      <c r="H18" s="38"/>
      <c r="I18" s="38"/>
      <c r="J18" s="38"/>
      <c r="K18" s="38"/>
      <c r="L18" s="38"/>
      <c r="M18" s="38"/>
      <c r="N18" s="59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ht="18.0" customHeight="1">
      <c r="A19" s="60"/>
      <c r="B19" s="61"/>
      <c r="C19" s="55"/>
      <c r="D19" s="55"/>
      <c r="E19" s="56" t="s">
        <v>27</v>
      </c>
      <c r="F19" s="56">
        <v>27270.0</v>
      </c>
      <c r="G19" s="38"/>
      <c r="H19" s="38"/>
      <c r="I19" s="38"/>
      <c r="J19" s="38"/>
      <c r="K19" s="38"/>
      <c r="L19" s="38"/>
      <c r="M19" s="62"/>
      <c r="N19" s="62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ht="18.0" customHeight="1">
      <c r="A20" s="60"/>
      <c r="B20" s="63"/>
      <c r="C20" s="64"/>
      <c r="D20" s="64"/>
      <c r="E20" s="65" t="s">
        <v>14</v>
      </c>
      <c r="F20" s="65">
        <v>178767.0</v>
      </c>
      <c r="G20" s="38"/>
      <c r="H20" s="38"/>
      <c r="I20" s="38"/>
      <c r="J20" s="59"/>
      <c r="K20" s="38"/>
      <c r="L20" s="38"/>
      <c r="M20" s="62"/>
      <c r="N20" s="62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ht="18.0" customHeight="1">
      <c r="A21" s="60"/>
      <c r="B21" s="66"/>
      <c r="C21" s="67"/>
      <c r="D21" s="68"/>
      <c r="E21" s="69"/>
      <c r="F21" s="69"/>
      <c r="G21" s="38"/>
      <c r="H21" s="38"/>
      <c r="I21" s="38"/>
      <c r="J21" s="59"/>
      <c r="K21" s="59"/>
      <c r="L21" s="38"/>
      <c r="M21" s="62"/>
      <c r="N21" s="62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ht="18.0" customHeight="1">
      <c r="A22" s="60"/>
      <c r="B22" s="70"/>
      <c r="C22" s="71"/>
      <c r="D22" s="71"/>
      <c r="E22" s="72"/>
      <c r="F22" s="72"/>
      <c r="G22" s="38"/>
      <c r="H22" s="38"/>
      <c r="I22" s="38"/>
      <c r="J22" s="59"/>
      <c r="K22" s="38"/>
      <c r="L22" s="38"/>
      <c r="M22" s="62"/>
      <c r="N22" s="62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ht="18.0" customHeight="1">
      <c r="A23" s="60"/>
      <c r="B23" s="70"/>
      <c r="C23" s="71"/>
      <c r="D23" s="71"/>
      <c r="E23" s="72"/>
      <c r="F23" s="72"/>
      <c r="G23" s="38"/>
      <c r="H23" s="38"/>
      <c r="I23" s="38"/>
      <c r="J23" s="59"/>
      <c r="K23" s="38"/>
      <c r="L23" s="38"/>
      <c r="M23" s="62"/>
      <c r="N23" s="62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ht="18.0" customHeight="1">
      <c r="A24" s="60"/>
      <c r="B24" s="70"/>
      <c r="C24" s="71"/>
      <c r="D24" s="71"/>
      <c r="E24" s="71"/>
      <c r="F24" s="71"/>
      <c r="G24" s="38"/>
      <c r="H24" s="38"/>
      <c r="I24" s="38"/>
      <c r="J24" s="38"/>
      <c r="K24" s="38"/>
      <c r="L24" s="38"/>
      <c r="M24" s="62"/>
      <c r="N24" s="62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ht="18.0" customHeight="1">
      <c r="A25" s="60"/>
      <c r="B25" s="70"/>
      <c r="C25" s="71"/>
      <c r="D25" s="71"/>
      <c r="E25" s="71"/>
      <c r="F25" s="71"/>
      <c r="G25" s="38"/>
      <c r="H25" s="38"/>
      <c r="I25" s="38"/>
      <c r="J25" s="38"/>
      <c r="K25" s="38"/>
      <c r="L25" s="38"/>
      <c r="M25" s="62"/>
      <c r="N25" s="62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ht="18.0" customHeight="1">
      <c r="A26" s="60"/>
      <c r="B26" s="70"/>
      <c r="C26" s="71"/>
      <c r="D26" s="71"/>
      <c r="E26" s="71"/>
      <c r="F26" s="71"/>
      <c r="G26" s="38"/>
      <c r="H26" s="38"/>
      <c r="I26" s="38"/>
      <c r="J26" s="38"/>
      <c r="K26" s="38"/>
      <c r="L26" s="38"/>
      <c r="M26" s="62"/>
      <c r="N26" s="62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ht="18.0" customHeight="1">
      <c r="A27" s="60"/>
      <c r="B27" s="70"/>
      <c r="C27" s="71"/>
      <c r="D27" s="71"/>
      <c r="E27" s="71"/>
      <c r="F27" s="71"/>
      <c r="G27" s="38"/>
      <c r="H27" s="38"/>
      <c r="I27" s="38"/>
      <c r="J27" s="38"/>
      <c r="K27" s="38"/>
      <c r="L27" s="38"/>
      <c r="M27" s="62"/>
      <c r="N27" s="62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ht="18.0" customHeight="1">
      <c r="A28" s="60"/>
      <c r="B28" s="66"/>
      <c r="C28" s="68"/>
      <c r="D28" s="68"/>
      <c r="E28" s="68"/>
      <c r="F28" s="68"/>
      <c r="G28" s="38"/>
      <c r="H28" s="38"/>
      <c r="I28" s="38"/>
      <c r="J28" s="59"/>
      <c r="K28" s="59"/>
      <c r="L28" s="59"/>
      <c r="M28" s="62"/>
      <c r="N28" s="62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ht="18.0" customHeight="1">
      <c r="A29" s="60"/>
      <c r="B29" s="66"/>
      <c r="C29" s="68"/>
      <c r="D29" s="68"/>
      <c r="E29" s="68"/>
      <c r="F29" s="68"/>
      <c r="G29" s="38"/>
      <c r="H29" s="38"/>
      <c r="I29" s="38"/>
      <c r="J29" s="59"/>
      <c r="K29" s="59"/>
      <c r="L29" s="59"/>
      <c r="M29" s="62"/>
      <c r="N29" s="62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ht="18.0" customHeight="1">
      <c r="A30" s="60"/>
      <c r="B30" s="66"/>
      <c r="C30" s="68"/>
      <c r="D30" s="68"/>
      <c r="E30" s="68"/>
      <c r="F30" s="68"/>
      <c r="G30" s="38"/>
      <c r="H30" s="38"/>
      <c r="I30" s="38"/>
      <c r="J30" s="59"/>
      <c r="K30" s="59"/>
      <c r="L30" s="59"/>
      <c r="M30" s="62"/>
      <c r="N30" s="6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ht="18.0" customHeight="1">
      <c r="A31" s="60"/>
      <c r="B31" s="70"/>
      <c r="C31" s="71"/>
      <c r="D31" s="71"/>
      <c r="E31" s="71"/>
      <c r="F31" s="71"/>
      <c r="G31" s="38"/>
      <c r="H31" s="38"/>
      <c r="I31" s="38"/>
      <c r="J31" s="59"/>
      <c r="K31" s="59"/>
      <c r="L31" s="59"/>
      <c r="M31" s="62"/>
      <c r="N31" s="62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ht="18.0" customHeight="1">
      <c r="A32" s="60"/>
      <c r="B32" s="70"/>
      <c r="C32" s="71"/>
      <c r="D32" s="71"/>
      <c r="E32" s="71"/>
      <c r="F32" s="71"/>
      <c r="G32" s="38"/>
      <c r="H32" s="38"/>
      <c r="I32" s="38"/>
      <c r="J32" s="59"/>
      <c r="K32" s="59"/>
      <c r="L32" s="59"/>
      <c r="M32" s="62"/>
      <c r="N32" s="62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ht="18.0" customHeight="1">
      <c r="A33" s="60"/>
      <c r="B33" s="70"/>
      <c r="C33" s="71"/>
      <c r="D33" s="71"/>
      <c r="E33" s="71"/>
      <c r="F33" s="71"/>
      <c r="G33" s="38"/>
      <c r="H33" s="38"/>
      <c r="I33" s="38"/>
      <c r="J33" s="59"/>
      <c r="K33" s="59"/>
      <c r="L33" s="59"/>
      <c r="M33" s="62"/>
      <c r="N33" s="62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ht="18.0" customHeight="1">
      <c r="A34" s="73"/>
      <c r="B34" s="66"/>
      <c r="C34" s="68"/>
      <c r="D34" s="68"/>
      <c r="E34" s="68"/>
      <c r="F34" s="68"/>
      <c r="G34" s="38"/>
      <c r="H34" s="38"/>
      <c r="I34" s="38"/>
      <c r="J34" s="59"/>
      <c r="K34" s="59"/>
      <c r="L34" s="59"/>
      <c r="M34" s="62"/>
      <c r="N34" s="62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ht="18.0" customHeight="1">
      <c r="A35" s="59"/>
      <c r="B35" s="74"/>
      <c r="C35" s="75"/>
      <c r="D35" s="75"/>
      <c r="E35" s="76"/>
      <c r="F35" s="76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ht="18.0" customHeight="1">
      <c r="A36" s="38"/>
      <c r="B36" s="66"/>
      <c r="C36" s="77"/>
      <c r="D36" s="68"/>
      <c r="E36" s="68"/>
      <c r="F36" s="76"/>
      <c r="G36" s="38"/>
      <c r="H36" s="38"/>
      <c r="I36" s="38"/>
      <c r="J36" s="59"/>
      <c r="K36" s="59"/>
      <c r="L36" s="59"/>
      <c r="M36" s="59"/>
      <c r="N36" s="59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ht="18.0" customHeight="1">
      <c r="A37" s="38"/>
      <c r="B37" s="66"/>
      <c r="C37" s="77"/>
      <c r="D37" s="68"/>
      <c r="E37" s="68"/>
      <c r="F37" s="76"/>
      <c r="G37" s="38"/>
      <c r="H37" s="38"/>
      <c r="I37" s="38"/>
      <c r="J37" s="59"/>
      <c r="K37" s="59"/>
      <c r="L37" s="59"/>
      <c r="M37" s="59"/>
      <c r="N37" s="59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ht="18.0" customHeight="1">
      <c r="A38" s="38"/>
      <c r="B38" s="78"/>
      <c r="C38" s="79"/>
      <c r="D38" s="78"/>
      <c r="E38" s="78"/>
      <c r="F38" s="80"/>
      <c r="G38" s="38"/>
      <c r="H38" s="38"/>
      <c r="I38" s="38"/>
      <c r="J38" s="59"/>
      <c r="K38" s="59"/>
      <c r="L38" s="59"/>
      <c r="M38" s="59"/>
      <c r="N38" s="59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ht="18.0" customHeight="1">
      <c r="A39" s="38"/>
      <c r="B39" s="78"/>
      <c r="C39" s="79"/>
      <c r="D39" s="78"/>
      <c r="E39" s="78"/>
      <c r="F39" s="80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ht="18.0" customHeight="1">
      <c r="A40" s="38"/>
      <c r="B40" s="78"/>
      <c r="C40" s="79"/>
      <c r="D40" s="78"/>
      <c r="E40" s="78"/>
      <c r="F40" s="80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ht="18.0" customHeight="1">
      <c r="A41" s="38"/>
      <c r="B41" s="78"/>
      <c r="C41" s="79"/>
      <c r="D41" s="78"/>
      <c r="E41" s="78"/>
      <c r="F41" s="80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ht="18.0" customHeight="1">
      <c r="A42" s="38"/>
      <c r="B42" s="78"/>
      <c r="C42" s="79"/>
      <c r="D42" s="78"/>
      <c r="E42" s="78"/>
      <c r="F42" s="80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ht="18.0" customHeight="1">
      <c r="A43" s="38"/>
      <c r="B43" s="79"/>
      <c r="C43" s="79"/>
      <c r="D43" s="79"/>
      <c r="E43" s="79"/>
      <c r="F43" s="79"/>
      <c r="G43" s="5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ht="18.0" customHeight="1">
      <c r="A44" s="38"/>
      <c r="B44" s="81"/>
      <c r="F44" s="81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ht="18.0" customHeight="1">
      <c r="A45" s="58"/>
      <c r="B45" s="81"/>
      <c r="C45" s="82"/>
      <c r="D45" s="82"/>
      <c r="E45" s="82"/>
      <c r="F45" s="7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ht="18.0" customHeight="1">
      <c r="A46" s="83"/>
      <c r="B46" s="79"/>
      <c r="C46" s="79"/>
      <c r="D46" s="79"/>
      <c r="E46" s="79"/>
      <c r="F46" s="7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ht="18.0" customHeight="1">
      <c r="A47" s="38"/>
      <c r="B47" s="79"/>
      <c r="C47" s="79"/>
      <c r="D47" s="79"/>
      <c r="E47" s="79"/>
      <c r="F47" s="7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ht="18.0" customHeight="1">
      <c r="A48" s="38"/>
      <c r="B48" s="79"/>
      <c r="C48" s="79"/>
      <c r="D48" s="79"/>
      <c r="E48" s="79"/>
      <c r="F48" s="7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ht="18.0" customHeight="1">
      <c r="A49" s="38"/>
      <c r="B49" s="79"/>
      <c r="C49" s="79"/>
      <c r="D49" s="79"/>
      <c r="E49" s="79"/>
      <c r="F49" s="7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ht="18.0" customHeight="1">
      <c r="A50" s="38"/>
      <c r="B50" s="79"/>
      <c r="C50" s="79"/>
      <c r="D50" s="79"/>
      <c r="E50" s="79"/>
      <c r="F50" s="7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ht="18.0" customHeight="1">
      <c r="A51" s="38"/>
      <c r="B51" s="79"/>
      <c r="C51" s="79"/>
      <c r="D51" s="79"/>
      <c r="E51" s="79"/>
      <c r="F51" s="7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ht="18.0" customHeight="1">
      <c r="A52" s="38"/>
      <c r="B52" s="79"/>
      <c r="C52" s="79"/>
      <c r="D52" s="79"/>
      <c r="E52" s="79"/>
      <c r="F52" s="79"/>
      <c r="G52" s="38"/>
      <c r="H52" s="38"/>
      <c r="I52" s="38"/>
      <c r="J52" s="52"/>
      <c r="K52" s="52"/>
      <c r="L52" s="52"/>
      <c r="M52" s="52"/>
      <c r="N52" s="52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ht="18.0" customHeight="1">
      <c r="A53" s="38"/>
      <c r="B53" s="79"/>
      <c r="C53" s="79"/>
      <c r="D53" s="79"/>
      <c r="E53" s="79"/>
      <c r="F53" s="79"/>
      <c r="G53" s="38"/>
      <c r="H53" s="38"/>
      <c r="I53" s="38"/>
      <c r="J53" s="57"/>
      <c r="K53" s="57"/>
      <c r="L53" s="57"/>
      <c r="M53" s="57"/>
      <c r="N53" s="57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ht="18.0" customHeight="1">
      <c r="A54" s="38"/>
      <c r="B54" s="79"/>
      <c r="C54" s="79"/>
      <c r="D54" s="79"/>
      <c r="E54" s="79"/>
      <c r="F54" s="79"/>
      <c r="G54" s="38"/>
      <c r="H54" s="38"/>
      <c r="I54" s="38"/>
      <c r="J54" s="57"/>
      <c r="K54" s="57"/>
      <c r="L54" s="57"/>
      <c r="M54" s="57"/>
      <c r="N54" s="57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ht="18.0" customHeight="1">
      <c r="A55" s="38"/>
      <c r="B55" s="79"/>
      <c r="C55" s="79"/>
      <c r="D55" s="79"/>
      <c r="E55" s="79"/>
      <c r="F55" s="79"/>
      <c r="G55" s="38"/>
      <c r="H55" s="38"/>
      <c r="I55" s="38"/>
      <c r="J55" s="57"/>
      <c r="K55" s="57"/>
      <c r="L55" s="57"/>
      <c r="M55" s="57"/>
      <c r="N55" s="57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ht="18.0" customHeight="1">
      <c r="A56" s="38"/>
      <c r="B56" s="79"/>
      <c r="C56" s="79"/>
      <c r="D56" s="79"/>
      <c r="E56" s="79"/>
      <c r="F56" s="79"/>
      <c r="G56" s="38"/>
      <c r="H56" s="38"/>
      <c r="I56" s="38"/>
      <c r="J56" s="57"/>
      <c r="K56" s="57"/>
      <c r="L56" s="57"/>
      <c r="M56" s="57"/>
      <c r="N56" s="57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ht="18.0" customHeight="1">
      <c r="A57" s="38"/>
      <c r="B57" s="79"/>
      <c r="C57" s="79"/>
      <c r="D57" s="79"/>
      <c r="E57" s="79"/>
      <c r="F57" s="79"/>
      <c r="G57" s="38"/>
      <c r="H57" s="38"/>
      <c r="I57" s="38"/>
      <c r="J57" s="57"/>
      <c r="K57" s="57"/>
      <c r="L57" s="57"/>
      <c r="M57" s="57"/>
      <c r="N57" s="57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ht="18.0" customHeight="1">
      <c r="A58" s="38"/>
      <c r="B58" s="79"/>
      <c r="C58" s="79"/>
      <c r="D58" s="79"/>
      <c r="E58" s="79"/>
      <c r="F58" s="7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ht="18.0" customHeight="1">
      <c r="A59" s="38"/>
      <c r="B59" s="79"/>
      <c r="C59" s="79"/>
      <c r="D59" s="79"/>
      <c r="E59" s="79"/>
      <c r="F59" s="79"/>
      <c r="G59" s="38"/>
      <c r="H59" s="38"/>
      <c r="I59" s="38"/>
      <c r="J59" s="5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ht="18.0" customHeight="1">
      <c r="A60" s="38"/>
      <c r="B60" s="79"/>
      <c r="C60" s="79"/>
      <c r="D60" s="79"/>
      <c r="E60" s="79"/>
      <c r="F60" s="79"/>
      <c r="G60" s="38"/>
      <c r="H60" s="38"/>
      <c r="I60" s="38"/>
      <c r="J60" s="58"/>
      <c r="K60" s="58"/>
      <c r="L60" s="58"/>
      <c r="M60" s="58"/>
      <c r="N60" s="5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ht="18.0" customHeight="1">
      <c r="A61" s="38"/>
      <c r="B61" s="79"/>
      <c r="C61" s="79"/>
      <c r="D61" s="79"/>
      <c r="E61" s="79"/>
      <c r="F61" s="79"/>
      <c r="G61" s="38"/>
      <c r="H61" s="38"/>
      <c r="I61" s="38"/>
      <c r="J61" s="35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ht="18.0" customHeight="1">
      <c r="A62" s="38"/>
      <c r="B62" s="79"/>
      <c r="C62" s="79"/>
      <c r="D62" s="79"/>
      <c r="E62" s="79"/>
      <c r="F62" s="7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ht="18.0" customHeight="1">
      <c r="A63" s="38"/>
      <c r="B63" s="79"/>
      <c r="C63" s="79"/>
      <c r="D63" s="79"/>
      <c r="E63" s="79"/>
      <c r="F63" s="7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ht="18.0" customHeight="1">
      <c r="A64" s="38"/>
      <c r="B64" s="79"/>
      <c r="C64" s="79"/>
      <c r="D64" s="79"/>
      <c r="E64" s="79"/>
      <c r="F64" s="7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ht="18.0" customHeight="1">
      <c r="A65" s="38"/>
      <c r="B65" s="79"/>
      <c r="C65" s="79"/>
      <c r="D65" s="79"/>
      <c r="E65" s="79"/>
      <c r="F65" s="7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ht="18.0" customHeight="1">
      <c r="A66" s="38"/>
      <c r="B66" s="79"/>
      <c r="C66" s="79"/>
      <c r="D66" s="79"/>
      <c r="E66" s="79"/>
      <c r="F66" s="7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ht="18.0" customHeight="1">
      <c r="A67" s="38"/>
      <c r="B67" s="79"/>
      <c r="C67" s="79"/>
      <c r="D67" s="79"/>
      <c r="E67" s="79"/>
      <c r="F67" s="7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ht="18.0" customHeight="1">
      <c r="A68" s="38"/>
      <c r="B68" s="79"/>
      <c r="C68" s="79"/>
      <c r="D68" s="79"/>
      <c r="E68" s="79"/>
      <c r="F68" s="7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ht="18.0" customHeight="1">
      <c r="A69" s="38"/>
      <c r="B69" s="79"/>
      <c r="C69" s="79"/>
      <c r="D69" s="79"/>
      <c r="E69" s="79"/>
      <c r="F69" s="7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ht="18.0" customHeight="1">
      <c r="A70" s="38"/>
      <c r="B70" s="79"/>
      <c r="C70" s="79"/>
      <c r="D70" s="79"/>
      <c r="E70" s="79"/>
      <c r="F70" s="7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ht="18.0" customHeight="1">
      <c r="A71" s="38"/>
      <c r="B71" s="79"/>
      <c r="C71" s="79"/>
      <c r="D71" s="79"/>
      <c r="E71" s="79"/>
      <c r="F71" s="7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ht="18.0" customHeight="1">
      <c r="A72" s="38"/>
      <c r="B72" s="79"/>
      <c r="C72" s="79"/>
      <c r="D72" s="79"/>
      <c r="E72" s="79"/>
      <c r="F72" s="7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ht="18.0" customHeight="1">
      <c r="A73" s="38"/>
      <c r="B73" s="79"/>
      <c r="C73" s="79"/>
      <c r="D73" s="79"/>
      <c r="E73" s="79"/>
      <c r="F73" s="7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ht="18.0" customHeight="1">
      <c r="A74" s="38"/>
      <c r="B74" s="79"/>
      <c r="C74" s="79"/>
      <c r="D74" s="79"/>
      <c r="E74" s="79"/>
      <c r="F74" s="7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ht="18.0" customHeight="1">
      <c r="A75" s="38"/>
      <c r="B75" s="79"/>
      <c r="C75" s="79"/>
      <c r="D75" s="79"/>
      <c r="E75" s="79"/>
      <c r="F75" s="7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ht="18.0" customHeight="1">
      <c r="A76" s="38"/>
      <c r="B76" s="79"/>
      <c r="C76" s="79"/>
      <c r="D76" s="79"/>
      <c r="E76" s="79"/>
      <c r="F76" s="7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ht="18.0" customHeight="1">
      <c r="A77" s="38"/>
      <c r="B77" s="79"/>
      <c r="C77" s="79"/>
      <c r="D77" s="79"/>
      <c r="E77" s="79"/>
      <c r="F77" s="7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ht="18.0" customHeight="1">
      <c r="A78" s="38"/>
      <c r="B78" s="79"/>
      <c r="C78" s="79"/>
      <c r="D78" s="79"/>
      <c r="E78" s="79"/>
      <c r="F78" s="7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ht="18.0" customHeight="1">
      <c r="A79" s="38"/>
      <c r="B79" s="79"/>
      <c r="C79" s="79"/>
      <c r="D79" s="79"/>
      <c r="E79" s="79"/>
      <c r="F79" s="7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ht="18.0" customHeight="1">
      <c r="A80" s="38"/>
      <c r="B80" s="79"/>
      <c r="C80" s="79"/>
      <c r="D80" s="79"/>
      <c r="E80" s="79"/>
      <c r="F80" s="7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ht="18.0" customHeight="1">
      <c r="A81" s="38"/>
      <c r="B81" s="79"/>
      <c r="C81" s="79"/>
      <c r="D81" s="79"/>
      <c r="E81" s="79"/>
      <c r="F81" s="7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ht="18.0" customHeight="1">
      <c r="A82" s="38"/>
      <c r="B82" s="79"/>
      <c r="C82" s="79"/>
      <c r="D82" s="79"/>
      <c r="E82" s="79"/>
      <c r="F82" s="7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ht="18.0" customHeight="1">
      <c r="A83" s="38"/>
      <c r="B83" s="79"/>
      <c r="C83" s="79"/>
      <c r="D83" s="79"/>
      <c r="E83" s="79"/>
      <c r="F83" s="7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ht="18.0" customHeight="1">
      <c r="A84" s="38"/>
      <c r="B84" s="84" t="s">
        <v>28</v>
      </c>
      <c r="C84" s="79"/>
      <c r="D84" s="84"/>
      <c r="E84" s="84"/>
      <c r="F84" s="80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ht="18.0" customHeight="1">
      <c r="A85" s="38"/>
      <c r="B85" s="78" t="s">
        <v>29</v>
      </c>
      <c r="C85" s="79"/>
      <c r="D85" s="78"/>
      <c r="E85" s="78"/>
      <c r="F85" s="80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ht="18.0" customHeight="1">
      <c r="A86" s="38"/>
      <c r="B86" s="78" t="s">
        <v>30</v>
      </c>
      <c r="C86" s="79"/>
      <c r="D86" s="78"/>
      <c r="E86" s="78"/>
      <c r="F86" s="80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ht="18.0" customHeight="1">
      <c r="A87" s="38"/>
      <c r="B87" s="78" t="s">
        <v>31</v>
      </c>
      <c r="C87" s="79"/>
      <c r="D87" s="78"/>
      <c r="E87" s="78"/>
      <c r="F87" s="80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ht="18.0" customHeight="1">
      <c r="A88" s="38"/>
      <c r="B88" s="78" t="s">
        <v>32</v>
      </c>
      <c r="C88" s="79"/>
      <c r="D88" s="78"/>
      <c r="E88" s="78"/>
      <c r="F88" s="80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ht="18.0" customHeight="1">
      <c r="A89" s="38"/>
      <c r="B89" s="78" t="s">
        <v>33</v>
      </c>
      <c r="C89" s="79"/>
      <c r="D89" s="78"/>
      <c r="E89" s="78"/>
      <c r="F89" s="80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ht="18.0" customHeight="1">
      <c r="A90" s="38"/>
      <c r="B90" s="79"/>
      <c r="C90" s="79"/>
      <c r="D90" s="79"/>
      <c r="E90" s="79"/>
      <c r="F90" s="7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ht="18.0" customHeight="1">
      <c r="A91" s="38"/>
      <c r="B91" s="85" t="s">
        <v>34</v>
      </c>
      <c r="G91" s="5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ht="18.0" customHeight="1">
      <c r="A92" s="58"/>
      <c r="B92" s="81"/>
      <c r="C92" s="82"/>
      <c r="D92" s="82"/>
      <c r="E92" s="82"/>
      <c r="F92" s="7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ht="18.0" customHeight="1">
      <c r="A93" s="38"/>
      <c r="B93" s="86"/>
      <c r="C93" s="86"/>
      <c r="D93" s="86"/>
      <c r="E93" s="86"/>
      <c r="F93" s="86"/>
      <c r="G93" s="83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ht="18.0" customHeight="1">
      <c r="A94" s="38"/>
      <c r="B94" s="79"/>
      <c r="C94" s="79"/>
      <c r="D94" s="79"/>
      <c r="E94" s="79"/>
      <c r="F94" s="7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ht="18.0" customHeight="1">
      <c r="A95" s="38"/>
      <c r="B95" s="79"/>
      <c r="C95" s="79"/>
      <c r="D95" s="79"/>
      <c r="E95" s="79"/>
      <c r="F95" s="7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ht="18.0" customHeight="1">
      <c r="A96" s="38"/>
      <c r="B96" s="79"/>
      <c r="C96" s="79"/>
      <c r="D96" s="79"/>
      <c r="E96" s="79"/>
      <c r="F96" s="7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ht="18.0" customHeight="1">
      <c r="A97" s="38"/>
      <c r="B97" s="79"/>
      <c r="C97" s="79"/>
      <c r="D97" s="79"/>
      <c r="E97" s="79"/>
      <c r="F97" s="7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ht="18.0" customHeight="1">
      <c r="A98" s="38"/>
      <c r="B98" s="79"/>
      <c r="C98" s="79"/>
      <c r="D98" s="79"/>
      <c r="E98" s="79"/>
      <c r="F98" s="7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ht="18.0" customHeight="1">
      <c r="A99" s="38"/>
      <c r="B99" s="79"/>
      <c r="C99" s="79"/>
      <c r="D99" s="79"/>
      <c r="E99" s="79"/>
      <c r="F99" s="7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ht="18.0" customHeight="1">
      <c r="A100" s="38"/>
      <c r="B100" s="79"/>
      <c r="C100" s="79"/>
      <c r="D100" s="79"/>
      <c r="E100" s="79"/>
      <c r="F100" s="7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ht="18.0" customHeight="1">
      <c r="A101" s="38"/>
      <c r="B101" s="79"/>
      <c r="C101" s="79"/>
      <c r="D101" s="79"/>
      <c r="E101" s="79"/>
      <c r="F101" s="7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ht="18.0" customHeight="1">
      <c r="A102" s="38"/>
      <c r="B102" s="79"/>
      <c r="C102" s="79"/>
      <c r="D102" s="79"/>
      <c r="E102" s="79"/>
      <c r="F102" s="7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ht="18.0" customHeight="1">
      <c r="A103" s="38"/>
      <c r="B103" s="79"/>
      <c r="C103" s="79"/>
      <c r="D103" s="79"/>
      <c r="E103" s="79"/>
      <c r="F103" s="7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ht="18.0" customHeight="1">
      <c r="A104" s="38"/>
      <c r="B104" s="79"/>
      <c r="C104" s="79"/>
      <c r="D104" s="79"/>
      <c r="E104" s="79"/>
      <c r="F104" s="7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ht="18.0" customHeight="1">
      <c r="A105" s="38"/>
      <c r="B105" s="79"/>
      <c r="C105" s="79"/>
      <c r="D105" s="79"/>
      <c r="E105" s="79"/>
      <c r="F105" s="7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ht="18.0" customHeight="1">
      <c r="A106" s="38"/>
      <c r="B106" s="79"/>
      <c r="C106" s="79"/>
      <c r="D106" s="79"/>
      <c r="E106" s="79"/>
      <c r="F106" s="7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ht="18.0" customHeight="1">
      <c r="A107" s="38"/>
      <c r="B107" s="79"/>
      <c r="C107" s="79"/>
      <c r="D107" s="79"/>
      <c r="E107" s="79"/>
      <c r="F107" s="7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ht="18.0" customHeight="1">
      <c r="A108" s="38"/>
      <c r="B108" s="79"/>
      <c r="C108" s="79"/>
      <c r="D108" s="79"/>
      <c r="E108" s="79"/>
      <c r="F108" s="7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ht="18.0" customHeight="1">
      <c r="A109" s="38"/>
      <c r="B109" s="79"/>
      <c r="C109" s="79"/>
      <c r="D109" s="79"/>
      <c r="E109" s="79"/>
      <c r="F109" s="7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ht="18.0" customHeight="1">
      <c r="A110" s="38"/>
      <c r="B110" s="79"/>
      <c r="C110" s="79"/>
      <c r="D110" s="79"/>
      <c r="E110" s="79"/>
      <c r="F110" s="7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ht="18.0" customHeight="1">
      <c r="A111" s="38"/>
      <c r="B111" s="79"/>
      <c r="C111" s="79"/>
      <c r="D111" s="79"/>
      <c r="E111" s="79"/>
      <c r="F111" s="7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ht="18.0" customHeight="1">
      <c r="A112" s="38"/>
      <c r="B112" s="79"/>
      <c r="C112" s="79"/>
      <c r="D112" s="79"/>
      <c r="E112" s="79"/>
      <c r="F112" s="7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ht="18.0" customHeight="1">
      <c r="A113" s="38"/>
      <c r="B113" s="79"/>
      <c r="C113" s="79"/>
      <c r="D113" s="79"/>
      <c r="E113" s="79"/>
      <c r="F113" s="7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ht="18.0" customHeight="1">
      <c r="A114" s="38"/>
      <c r="B114" s="79"/>
      <c r="C114" s="79"/>
      <c r="D114" s="79"/>
      <c r="E114" s="79"/>
      <c r="F114" s="7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ht="18.0" customHeight="1">
      <c r="A115" s="38"/>
      <c r="B115" s="79"/>
      <c r="C115" s="79"/>
      <c r="D115" s="79"/>
      <c r="E115" s="79"/>
      <c r="F115" s="7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ht="18.0" customHeight="1">
      <c r="A116" s="38"/>
      <c r="B116" s="79"/>
      <c r="C116" s="79"/>
      <c r="D116" s="79"/>
      <c r="E116" s="79"/>
      <c r="F116" s="7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ht="18.0" customHeight="1">
      <c r="A117" s="38"/>
      <c r="B117" s="79"/>
      <c r="C117" s="79"/>
      <c r="D117" s="79"/>
      <c r="E117" s="79"/>
      <c r="F117" s="7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ht="18.0" customHeight="1">
      <c r="A118" s="38"/>
      <c r="B118" s="79"/>
      <c r="C118" s="79"/>
      <c r="D118" s="79"/>
      <c r="E118" s="79"/>
      <c r="F118" s="7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ht="18.0" customHeight="1">
      <c r="A119" s="38"/>
      <c r="B119" s="79"/>
      <c r="C119" s="79"/>
      <c r="D119" s="79"/>
      <c r="E119" s="79"/>
      <c r="F119" s="7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ht="18.0" customHeight="1">
      <c r="A120" s="38"/>
      <c r="B120" s="79"/>
      <c r="C120" s="79"/>
      <c r="D120" s="79"/>
      <c r="E120" s="79"/>
      <c r="F120" s="7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ht="18.0" customHeight="1">
      <c r="A121" s="38"/>
      <c r="B121" s="79"/>
      <c r="C121" s="79"/>
      <c r="D121" s="79"/>
      <c r="E121" s="79"/>
      <c r="F121" s="7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ht="18.0" customHeight="1">
      <c r="A122" s="38"/>
      <c r="B122" s="79"/>
      <c r="C122" s="79"/>
      <c r="D122" s="79"/>
      <c r="E122" s="79"/>
      <c r="F122" s="7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ht="18.0" customHeight="1">
      <c r="A123" s="38"/>
      <c r="B123" s="79"/>
      <c r="C123" s="79"/>
      <c r="D123" s="79"/>
      <c r="E123" s="79"/>
      <c r="F123" s="7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ht="18.0" customHeight="1">
      <c r="A124" s="38"/>
      <c r="B124" s="79"/>
      <c r="C124" s="79"/>
      <c r="D124" s="79"/>
      <c r="E124" s="79"/>
      <c r="F124" s="7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ht="18.0" customHeight="1">
      <c r="A125" s="38"/>
      <c r="B125" s="79"/>
      <c r="C125" s="79"/>
      <c r="D125" s="79"/>
      <c r="E125" s="79"/>
      <c r="F125" s="7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ht="18.0" customHeight="1">
      <c r="A126" s="38"/>
      <c r="B126" s="79"/>
      <c r="C126" s="79"/>
      <c r="D126" s="79"/>
      <c r="E126" s="79"/>
      <c r="F126" s="7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ht="18.0" customHeight="1">
      <c r="A127" s="38"/>
      <c r="B127" s="79"/>
      <c r="C127" s="79"/>
      <c r="D127" s="79"/>
      <c r="E127" s="79"/>
      <c r="F127" s="7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ht="18.0" customHeight="1">
      <c r="A128" s="38"/>
      <c r="B128" s="79"/>
      <c r="C128" s="79"/>
      <c r="D128" s="79"/>
      <c r="E128" s="79"/>
      <c r="F128" s="7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ht="18.0" customHeight="1">
      <c r="A129" s="38"/>
      <c r="B129" s="79"/>
      <c r="C129" s="79"/>
      <c r="D129" s="79"/>
      <c r="E129" s="79"/>
      <c r="F129" s="7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ht="18.0" customHeight="1">
      <c r="A130" s="38"/>
      <c r="B130" s="79"/>
      <c r="C130" s="79"/>
      <c r="D130" s="79"/>
      <c r="E130" s="79"/>
      <c r="F130" s="7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ht="18.0" customHeight="1">
      <c r="A131" s="38"/>
      <c r="B131" s="79"/>
      <c r="C131" s="79"/>
      <c r="D131" s="79"/>
      <c r="E131" s="79"/>
      <c r="F131" s="7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ht="18.0" customHeight="1">
      <c r="A132" s="38"/>
      <c r="B132" s="79"/>
      <c r="C132" s="79"/>
      <c r="D132" s="79"/>
      <c r="E132" s="79"/>
      <c r="F132" s="7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ht="18.0" customHeight="1">
      <c r="A133" s="38"/>
      <c r="B133" s="79"/>
      <c r="C133" s="79"/>
      <c r="D133" s="79"/>
      <c r="E133" s="79"/>
      <c r="F133" s="7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ht="18.0" customHeight="1">
      <c r="A134" s="38"/>
      <c r="B134" s="79"/>
      <c r="C134" s="79"/>
      <c r="D134" s="79"/>
      <c r="E134" s="79"/>
      <c r="F134" s="7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ht="18.0" customHeight="1">
      <c r="A135" s="38"/>
      <c r="B135" s="79"/>
      <c r="C135" s="79"/>
      <c r="D135" s="79"/>
      <c r="E135" s="79"/>
      <c r="F135" s="7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ht="18.0" customHeight="1">
      <c r="A136" s="38"/>
      <c r="B136" s="79"/>
      <c r="C136" s="79"/>
      <c r="D136" s="79"/>
      <c r="E136" s="79"/>
      <c r="F136" s="7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ht="18.0" customHeight="1">
      <c r="A137" s="38"/>
      <c r="B137" s="79"/>
      <c r="C137" s="79"/>
      <c r="D137" s="79"/>
      <c r="E137" s="79"/>
      <c r="F137" s="7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ht="18.0" customHeight="1">
      <c r="A138" s="38"/>
      <c r="B138" s="79"/>
      <c r="C138" s="79"/>
      <c r="D138" s="79"/>
      <c r="E138" s="79"/>
      <c r="F138" s="7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ht="18.0" customHeight="1">
      <c r="A139" s="38"/>
      <c r="B139" s="79"/>
      <c r="C139" s="79"/>
      <c r="D139" s="79"/>
      <c r="E139" s="79"/>
      <c r="F139" s="7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ht="18.0" customHeight="1">
      <c r="A140" s="38"/>
      <c r="B140" s="79"/>
      <c r="C140" s="79"/>
      <c r="D140" s="79"/>
      <c r="E140" s="79"/>
      <c r="F140" s="7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ht="18.0" customHeight="1">
      <c r="A141" s="38"/>
      <c r="B141" s="79"/>
      <c r="C141" s="79"/>
      <c r="D141" s="79"/>
      <c r="E141" s="79"/>
      <c r="F141" s="7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ht="18.0" customHeight="1">
      <c r="A142" s="38"/>
      <c r="B142" s="79"/>
      <c r="C142" s="79"/>
      <c r="D142" s="79"/>
      <c r="E142" s="79"/>
      <c r="F142" s="7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ht="18.0" customHeight="1">
      <c r="A143" s="38"/>
      <c r="B143" s="79"/>
      <c r="C143" s="79"/>
      <c r="D143" s="79"/>
      <c r="E143" s="79"/>
      <c r="F143" s="7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ht="18.0" customHeight="1">
      <c r="A144" s="38"/>
      <c r="B144" s="79"/>
      <c r="C144" s="79"/>
      <c r="D144" s="79"/>
      <c r="E144" s="79"/>
      <c r="F144" s="7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ht="18.0" customHeight="1">
      <c r="A145" s="38"/>
      <c r="B145" s="79"/>
      <c r="C145" s="79"/>
      <c r="D145" s="79"/>
      <c r="E145" s="79"/>
      <c r="F145" s="7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ht="18.0" customHeight="1">
      <c r="A146" s="38"/>
      <c r="B146" s="79"/>
      <c r="C146" s="79"/>
      <c r="D146" s="79"/>
      <c r="E146" s="79"/>
      <c r="F146" s="7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ht="18.0" customHeight="1">
      <c r="A147" s="38"/>
      <c r="B147" s="79"/>
      <c r="C147" s="79"/>
      <c r="D147" s="79"/>
      <c r="E147" s="79"/>
      <c r="F147" s="7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ht="18.0" customHeight="1">
      <c r="A148" s="38"/>
      <c r="B148" s="79"/>
      <c r="C148" s="79"/>
      <c r="D148" s="79"/>
      <c r="E148" s="79"/>
      <c r="F148" s="7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ht="18.0" customHeight="1">
      <c r="A149" s="38"/>
      <c r="B149" s="79"/>
      <c r="C149" s="79"/>
      <c r="D149" s="79"/>
      <c r="E149" s="79"/>
      <c r="F149" s="7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ht="18.0" customHeight="1">
      <c r="A150" s="38"/>
      <c r="B150" s="79"/>
      <c r="C150" s="79"/>
      <c r="D150" s="79"/>
      <c r="E150" s="79"/>
      <c r="F150" s="7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ht="15.75" customHeight="1">
      <c r="A151" s="38"/>
      <c r="B151" s="79"/>
      <c r="C151" s="79"/>
      <c r="D151" s="79"/>
      <c r="E151" s="79"/>
      <c r="F151" s="7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ht="15.75" customHeight="1">
      <c r="A152" s="38"/>
      <c r="B152" s="79"/>
      <c r="C152" s="79"/>
      <c r="D152" s="79"/>
      <c r="E152" s="79"/>
      <c r="F152" s="7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ht="15.75" customHeight="1">
      <c r="A153" s="38"/>
      <c r="B153" s="79"/>
      <c r="C153" s="79"/>
      <c r="D153" s="79"/>
      <c r="E153" s="79"/>
      <c r="F153" s="7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ht="15.75" customHeight="1">
      <c r="A154" s="38"/>
      <c r="B154" s="79"/>
      <c r="C154" s="79"/>
      <c r="D154" s="79"/>
      <c r="E154" s="79"/>
      <c r="F154" s="7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ht="15.75" customHeight="1">
      <c r="A155" s="38"/>
      <c r="B155" s="79"/>
      <c r="C155" s="79"/>
      <c r="D155" s="79"/>
      <c r="E155" s="79"/>
      <c r="F155" s="7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ht="15.75" customHeight="1">
      <c r="A156" s="38"/>
      <c r="B156" s="79"/>
      <c r="C156" s="79"/>
      <c r="D156" s="79"/>
      <c r="E156" s="79"/>
      <c r="F156" s="7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ht="15.75" customHeight="1">
      <c r="A157" s="38"/>
      <c r="B157" s="79"/>
      <c r="C157" s="79"/>
      <c r="D157" s="79"/>
      <c r="E157" s="79"/>
      <c r="F157" s="7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ht="15.75" customHeight="1">
      <c r="A158" s="38"/>
      <c r="B158" s="79"/>
      <c r="C158" s="79"/>
      <c r="D158" s="79"/>
      <c r="E158" s="79"/>
      <c r="F158" s="7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ht="15.75" customHeight="1">
      <c r="A159" s="38"/>
      <c r="B159" s="79"/>
      <c r="C159" s="79"/>
      <c r="D159" s="79"/>
      <c r="E159" s="79"/>
      <c r="F159" s="7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ht="15.75" customHeight="1">
      <c r="A160" s="38"/>
      <c r="B160" s="79"/>
      <c r="C160" s="79"/>
      <c r="D160" s="79"/>
      <c r="E160" s="79"/>
      <c r="F160" s="7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ht="15.75" customHeight="1">
      <c r="A161" s="38"/>
      <c r="B161" s="79"/>
      <c r="C161" s="79"/>
      <c r="D161" s="79"/>
      <c r="E161" s="79"/>
      <c r="F161" s="7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ht="15.75" customHeight="1">
      <c r="A162" s="38"/>
      <c r="B162" s="79"/>
      <c r="C162" s="79"/>
      <c r="D162" s="79"/>
      <c r="E162" s="79"/>
      <c r="F162" s="7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ht="15.75" customHeight="1">
      <c r="A163" s="38"/>
      <c r="B163" s="79"/>
      <c r="C163" s="79"/>
      <c r="D163" s="79"/>
      <c r="E163" s="79"/>
      <c r="F163" s="7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ht="15.75" customHeight="1">
      <c r="A164" s="38"/>
      <c r="B164" s="79"/>
      <c r="C164" s="79"/>
      <c r="D164" s="79"/>
      <c r="E164" s="79"/>
      <c r="F164" s="7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ht="15.75" customHeight="1">
      <c r="A165" s="38"/>
      <c r="B165" s="79"/>
      <c r="C165" s="79"/>
      <c r="D165" s="79"/>
      <c r="E165" s="79"/>
      <c r="F165" s="7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ht="15.75" customHeight="1">
      <c r="A166" s="38"/>
      <c r="B166" s="79"/>
      <c r="C166" s="79"/>
      <c r="D166" s="79"/>
      <c r="E166" s="79"/>
      <c r="F166" s="7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ht="15.75" customHeight="1">
      <c r="A167" s="38"/>
      <c r="B167" s="79"/>
      <c r="C167" s="79"/>
      <c r="D167" s="79"/>
      <c r="E167" s="79"/>
      <c r="F167" s="7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ht="15.75" customHeight="1">
      <c r="A168" s="38"/>
      <c r="B168" s="79"/>
      <c r="C168" s="79"/>
      <c r="D168" s="79"/>
      <c r="E168" s="79"/>
      <c r="F168" s="7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ht="15.75" customHeight="1">
      <c r="A169" s="38"/>
      <c r="B169" s="79"/>
      <c r="C169" s="79"/>
      <c r="D169" s="79"/>
      <c r="E169" s="79"/>
      <c r="F169" s="7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ht="15.75" customHeight="1">
      <c r="A170" s="38"/>
      <c r="B170" s="79"/>
      <c r="C170" s="79"/>
      <c r="D170" s="79"/>
      <c r="E170" s="79"/>
      <c r="F170" s="7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ht="15.75" customHeight="1">
      <c r="A171" s="38"/>
      <c r="B171" s="79"/>
      <c r="C171" s="79"/>
      <c r="D171" s="79"/>
      <c r="E171" s="79"/>
      <c r="F171" s="7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ht="15.75" customHeight="1">
      <c r="A172" s="38"/>
      <c r="B172" s="79"/>
      <c r="C172" s="79"/>
      <c r="D172" s="79"/>
      <c r="E172" s="79"/>
      <c r="F172" s="7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ht="15.75" customHeight="1">
      <c r="A173" s="38"/>
      <c r="B173" s="79"/>
      <c r="C173" s="79"/>
      <c r="D173" s="79"/>
      <c r="E173" s="79"/>
      <c r="F173" s="7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ht="15.75" customHeight="1">
      <c r="A174" s="38"/>
      <c r="B174" s="79"/>
      <c r="C174" s="79"/>
      <c r="D174" s="79"/>
      <c r="E174" s="79"/>
      <c r="F174" s="7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ht="15.75" customHeight="1">
      <c r="A175" s="38"/>
      <c r="B175" s="79"/>
      <c r="C175" s="79"/>
      <c r="D175" s="79"/>
      <c r="E175" s="79"/>
      <c r="F175" s="7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ht="15.75" customHeight="1">
      <c r="A176" s="38"/>
      <c r="B176" s="79"/>
      <c r="C176" s="79"/>
      <c r="D176" s="79"/>
      <c r="E176" s="79"/>
      <c r="F176" s="7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ht="15.75" customHeight="1">
      <c r="A177" s="38"/>
      <c r="B177" s="79"/>
      <c r="C177" s="79"/>
      <c r="D177" s="79"/>
      <c r="E177" s="79"/>
      <c r="F177" s="7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ht="15.75" customHeight="1">
      <c r="A178" s="38"/>
      <c r="B178" s="79"/>
      <c r="C178" s="79"/>
      <c r="D178" s="79"/>
      <c r="E178" s="79"/>
      <c r="F178" s="7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ht="15.75" customHeight="1">
      <c r="A179" s="38"/>
      <c r="B179" s="79"/>
      <c r="C179" s="79"/>
      <c r="D179" s="79"/>
      <c r="E179" s="79"/>
      <c r="F179" s="7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ht="15.75" customHeight="1">
      <c r="A180" s="38"/>
      <c r="B180" s="79"/>
      <c r="C180" s="79"/>
      <c r="D180" s="79"/>
      <c r="E180" s="79"/>
      <c r="F180" s="7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ht="15.75" customHeight="1">
      <c r="A181" s="38"/>
      <c r="B181" s="79"/>
      <c r="C181" s="79"/>
      <c r="D181" s="79"/>
      <c r="E181" s="79"/>
      <c r="F181" s="7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ht="15.75" customHeight="1">
      <c r="A182" s="38"/>
      <c r="B182" s="79"/>
      <c r="C182" s="79"/>
      <c r="D182" s="79"/>
      <c r="E182" s="79"/>
      <c r="F182" s="7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ht="15.75" customHeight="1">
      <c r="A183" s="38"/>
      <c r="B183" s="79"/>
      <c r="C183" s="79"/>
      <c r="D183" s="79"/>
      <c r="E183" s="79"/>
      <c r="F183" s="7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ht="15.75" customHeight="1">
      <c r="A184" s="38"/>
      <c r="B184" s="79"/>
      <c r="C184" s="79"/>
      <c r="D184" s="79"/>
      <c r="E184" s="79"/>
      <c r="F184" s="7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ht="15.75" customHeight="1">
      <c r="A185" s="38"/>
      <c r="B185" s="79"/>
      <c r="C185" s="79"/>
      <c r="D185" s="79"/>
      <c r="E185" s="79"/>
      <c r="F185" s="7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ht="15.75" customHeight="1">
      <c r="A186" s="38"/>
      <c r="B186" s="79"/>
      <c r="C186" s="79"/>
      <c r="D186" s="79"/>
      <c r="E186" s="79"/>
      <c r="F186" s="7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ht="15.75" customHeight="1">
      <c r="A187" s="38"/>
      <c r="B187" s="79"/>
      <c r="C187" s="79"/>
      <c r="D187" s="79"/>
      <c r="E187" s="79"/>
      <c r="F187" s="7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ht="15.75" customHeight="1">
      <c r="A188" s="38"/>
      <c r="B188" s="79"/>
      <c r="C188" s="79"/>
      <c r="D188" s="79"/>
      <c r="E188" s="79"/>
      <c r="F188" s="7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ht="15.75" customHeight="1">
      <c r="A189" s="38"/>
      <c r="B189" s="79"/>
      <c r="C189" s="79"/>
      <c r="D189" s="79"/>
      <c r="E189" s="79"/>
      <c r="F189" s="7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ht="15.75" customHeight="1">
      <c r="A190" s="38"/>
      <c r="B190" s="79"/>
      <c r="C190" s="79"/>
      <c r="D190" s="79"/>
      <c r="E190" s="79"/>
      <c r="F190" s="7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ht="15.75" customHeight="1">
      <c r="A191" s="38"/>
      <c r="B191" s="79"/>
      <c r="C191" s="79"/>
      <c r="D191" s="79"/>
      <c r="E191" s="79"/>
      <c r="F191" s="7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ht="15.75" customHeight="1">
      <c r="A192" s="38"/>
      <c r="B192" s="79"/>
      <c r="C192" s="79"/>
      <c r="D192" s="79"/>
      <c r="E192" s="79"/>
      <c r="F192" s="7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ht="15.75" customHeight="1">
      <c r="A193" s="38"/>
      <c r="B193" s="79"/>
      <c r="C193" s="79"/>
      <c r="D193" s="79"/>
      <c r="E193" s="79"/>
      <c r="F193" s="7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ht="15.75" customHeight="1">
      <c r="A194" s="38"/>
      <c r="B194" s="79"/>
      <c r="C194" s="79"/>
      <c r="D194" s="79"/>
      <c r="E194" s="79"/>
      <c r="F194" s="7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ht="15.75" customHeight="1">
      <c r="A195" s="38"/>
      <c r="B195" s="79"/>
      <c r="C195" s="79"/>
      <c r="D195" s="79"/>
      <c r="E195" s="79"/>
      <c r="F195" s="7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ht="15.75" customHeight="1">
      <c r="A196" s="38"/>
      <c r="B196" s="79"/>
      <c r="C196" s="79"/>
      <c r="D196" s="79"/>
      <c r="E196" s="79"/>
      <c r="F196" s="7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79"/>
      <c r="C197" s="79"/>
      <c r="D197" s="79"/>
      <c r="E197" s="79"/>
      <c r="F197" s="7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79"/>
      <c r="C198" s="79"/>
      <c r="D198" s="79"/>
      <c r="E198" s="79"/>
      <c r="F198" s="7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79"/>
      <c r="C199" s="79"/>
      <c r="D199" s="79"/>
      <c r="E199" s="79"/>
      <c r="F199" s="7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79"/>
      <c r="C200" s="79"/>
      <c r="D200" s="79"/>
      <c r="E200" s="79"/>
      <c r="F200" s="7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</sheetData>
  <mergeCells count="11">
    <mergeCell ref="B44:E44"/>
    <mergeCell ref="J59:N59"/>
    <mergeCell ref="J61:N61"/>
    <mergeCell ref="B91:F91"/>
    <mergeCell ref="D1:F2"/>
    <mergeCell ref="C3:F4"/>
    <mergeCell ref="E5:F5"/>
    <mergeCell ref="E6:F6"/>
    <mergeCell ref="B7:F7"/>
    <mergeCell ref="I15:M15"/>
    <mergeCell ref="I17:M17"/>
  </mergeCells>
  <conditionalFormatting sqref="A9:F15">
    <cfRule type="expression" dxfId="0" priority="1">
      <formula>$M9="TOTAL"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87" t="s">
        <v>35</v>
      </c>
      <c r="B1" s="87" t="s">
        <v>36</v>
      </c>
    </row>
    <row r="2">
      <c r="A2" s="88" t="s">
        <v>37</v>
      </c>
      <c r="B2" s="89">
        <v>168.0</v>
      </c>
    </row>
    <row r="3">
      <c r="A3" s="88" t="s">
        <v>38</v>
      </c>
      <c r="B3" s="89">
        <v>262.0</v>
      </c>
    </row>
    <row r="4">
      <c r="A4" s="88" t="s">
        <v>39</v>
      </c>
      <c r="B4" s="89">
        <v>397.0</v>
      </c>
    </row>
    <row r="5">
      <c r="A5" s="88" t="s">
        <v>40</v>
      </c>
      <c r="B5" s="89">
        <v>270.0</v>
      </c>
    </row>
    <row r="6">
      <c r="A6" s="88" t="s">
        <v>41</v>
      </c>
      <c r="B6" s="89">
        <v>353.0</v>
      </c>
    </row>
    <row r="7">
      <c r="A7" s="88" t="s">
        <v>42</v>
      </c>
      <c r="B7" s="89">
        <v>520.0</v>
      </c>
    </row>
    <row r="8">
      <c r="A8" s="88" t="s">
        <v>43</v>
      </c>
      <c r="B8" s="89">
        <v>1349.0</v>
      </c>
    </row>
    <row r="9">
      <c r="A9" s="90" t="s">
        <v>44</v>
      </c>
      <c r="B9" s="89">
        <v>356.0</v>
      </c>
    </row>
    <row r="10">
      <c r="A10" s="88" t="s">
        <v>45</v>
      </c>
      <c r="B10" s="89">
        <v>798.0</v>
      </c>
    </row>
    <row r="11">
      <c r="A11" s="88" t="s">
        <v>46</v>
      </c>
      <c r="B11" s="89">
        <v>3606.0</v>
      </c>
    </row>
    <row r="12">
      <c r="A12" s="88" t="s">
        <v>47</v>
      </c>
      <c r="B12" s="89">
        <v>70.0</v>
      </c>
    </row>
    <row r="13">
      <c r="A13" s="88" t="s">
        <v>48</v>
      </c>
      <c r="B13" s="89">
        <v>283.0</v>
      </c>
    </row>
    <row r="14">
      <c r="A14" s="88" t="s">
        <v>18</v>
      </c>
      <c r="B14" s="89">
        <v>300.0</v>
      </c>
    </row>
    <row r="15">
      <c r="A15" s="88" t="s">
        <v>19</v>
      </c>
      <c r="B15" s="89">
        <v>332.0</v>
      </c>
    </row>
    <row r="16">
      <c r="A16" s="88" t="s">
        <v>20</v>
      </c>
      <c r="B16" s="89">
        <v>354.0</v>
      </c>
    </row>
    <row r="17">
      <c r="A17" s="88" t="s">
        <v>21</v>
      </c>
      <c r="B17" s="89">
        <v>637.0</v>
      </c>
    </row>
    <row r="18">
      <c r="A18" s="88" t="s">
        <v>22</v>
      </c>
      <c r="B18" s="89">
        <v>709.0</v>
      </c>
    </row>
    <row r="19">
      <c r="A19" s="88" t="s">
        <v>23</v>
      </c>
      <c r="B19" s="89">
        <v>942.0</v>
      </c>
    </row>
    <row r="20">
      <c r="A20" s="88" t="s">
        <v>24</v>
      </c>
      <c r="B20" s="89">
        <v>1088.0</v>
      </c>
    </row>
    <row r="21">
      <c r="A21" s="88" t="s">
        <v>49</v>
      </c>
      <c r="B21" s="89">
        <v>1284.0</v>
      </c>
    </row>
    <row r="22">
      <c r="A22" s="88" t="s">
        <v>25</v>
      </c>
      <c r="B22" s="89">
        <v>1438.0</v>
      </c>
    </row>
    <row r="23">
      <c r="A23" s="88" t="s">
        <v>50</v>
      </c>
      <c r="B23" s="89">
        <v>1645.0</v>
      </c>
    </row>
    <row r="24">
      <c r="A24" s="91" t="s">
        <v>51</v>
      </c>
      <c r="B24" s="89">
        <v>1198.0</v>
      </c>
    </row>
    <row r="25">
      <c r="A25" s="91"/>
    </row>
    <row r="26">
      <c r="A26" s="91"/>
    </row>
    <row r="27">
      <c r="A27" s="91"/>
    </row>
    <row r="28">
      <c r="A28" s="91"/>
    </row>
    <row r="29">
      <c r="A29" s="91"/>
    </row>
    <row r="30">
      <c r="A30" s="91"/>
    </row>
    <row r="31">
      <c r="A31" s="91"/>
    </row>
    <row r="32">
      <c r="A32" s="91"/>
    </row>
    <row r="33">
      <c r="A33" s="91"/>
    </row>
    <row r="34">
      <c r="A34" s="91"/>
    </row>
    <row r="35">
      <c r="A35" s="91"/>
    </row>
    <row r="36">
      <c r="A36" s="91"/>
    </row>
    <row r="37">
      <c r="A37" s="91"/>
    </row>
    <row r="38">
      <c r="A38" s="91"/>
    </row>
    <row r="39">
      <c r="A39" s="91"/>
    </row>
    <row r="40">
      <c r="A40" s="91"/>
    </row>
    <row r="41">
      <c r="A41" s="91"/>
    </row>
    <row r="42">
      <c r="A42" s="91"/>
    </row>
    <row r="43">
      <c r="A43" s="91"/>
    </row>
    <row r="44">
      <c r="A44" s="91"/>
    </row>
    <row r="45">
      <c r="A45" s="91"/>
    </row>
    <row r="46">
      <c r="A46" s="91"/>
    </row>
    <row r="47">
      <c r="A47" s="91"/>
    </row>
    <row r="48">
      <c r="A48" s="90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1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87" t="s">
        <v>35</v>
      </c>
      <c r="B1" s="87" t="s">
        <v>36</v>
      </c>
    </row>
    <row r="2">
      <c r="A2" s="88" t="s">
        <v>37</v>
      </c>
      <c r="B2" s="89">
        <v>209.0</v>
      </c>
    </row>
    <row r="3">
      <c r="A3" s="88" t="s">
        <v>38</v>
      </c>
      <c r="B3" s="89">
        <v>334.0</v>
      </c>
    </row>
    <row r="4">
      <c r="A4" s="88" t="s">
        <v>39</v>
      </c>
      <c r="B4" s="89">
        <v>505.0</v>
      </c>
    </row>
    <row r="5">
      <c r="A5" s="88" t="s">
        <v>40</v>
      </c>
      <c r="B5" s="89">
        <v>337.0</v>
      </c>
    </row>
    <row r="6">
      <c r="A6" s="88" t="s">
        <v>41</v>
      </c>
      <c r="B6" s="89">
        <v>436.0</v>
      </c>
    </row>
    <row r="7">
      <c r="A7" s="88" t="s">
        <v>42</v>
      </c>
      <c r="B7" s="89">
        <v>634.0</v>
      </c>
    </row>
    <row r="8">
      <c r="A8" s="88" t="s">
        <v>43</v>
      </c>
      <c r="B8" s="89">
        <v>1663.0</v>
      </c>
    </row>
    <row r="9">
      <c r="A9" s="90" t="s">
        <v>44</v>
      </c>
      <c r="B9" s="89">
        <v>442.0</v>
      </c>
    </row>
    <row r="10">
      <c r="A10" s="88" t="s">
        <v>45</v>
      </c>
      <c r="B10" s="89">
        <v>991.0</v>
      </c>
    </row>
    <row r="11">
      <c r="A11" s="88" t="s">
        <v>46</v>
      </c>
      <c r="B11" s="89">
        <v>4326.0</v>
      </c>
    </row>
    <row r="12">
      <c r="A12" s="88" t="s">
        <v>47</v>
      </c>
      <c r="B12" s="89">
        <v>86.0</v>
      </c>
    </row>
    <row r="13">
      <c r="A13" s="88" t="s">
        <v>52</v>
      </c>
      <c r="B13" s="89">
        <v>883.0</v>
      </c>
    </row>
    <row r="14">
      <c r="A14" s="88" t="s">
        <v>48</v>
      </c>
      <c r="B14" s="89">
        <v>497.0</v>
      </c>
    </row>
    <row r="15">
      <c r="A15" s="88" t="s">
        <v>18</v>
      </c>
      <c r="B15" s="89">
        <v>540.0</v>
      </c>
    </row>
    <row r="16">
      <c r="A16" s="88" t="s">
        <v>19</v>
      </c>
      <c r="B16" s="89">
        <v>597.0</v>
      </c>
    </row>
    <row r="17">
      <c r="A17" s="88" t="s">
        <v>20</v>
      </c>
      <c r="B17" s="89">
        <v>635.0</v>
      </c>
    </row>
    <row r="18">
      <c r="A18" s="88" t="s">
        <v>21</v>
      </c>
      <c r="B18" s="89">
        <v>1147.0</v>
      </c>
    </row>
    <row r="19">
      <c r="A19" s="88" t="s">
        <v>22</v>
      </c>
      <c r="B19" s="89">
        <v>1272.0</v>
      </c>
    </row>
    <row r="20">
      <c r="A20" s="88" t="s">
        <v>23</v>
      </c>
      <c r="B20" s="89">
        <v>1641.0</v>
      </c>
    </row>
    <row r="21">
      <c r="A21" s="88" t="s">
        <v>24</v>
      </c>
      <c r="B21" s="89">
        <v>1962.0</v>
      </c>
    </row>
    <row r="22">
      <c r="A22" s="88" t="s">
        <v>49</v>
      </c>
      <c r="B22" s="89">
        <v>2308.0</v>
      </c>
    </row>
    <row r="23">
      <c r="A23" s="88" t="s">
        <v>25</v>
      </c>
      <c r="B23" s="89">
        <v>2591.0</v>
      </c>
    </row>
    <row r="24">
      <c r="A24" s="88" t="s">
        <v>50</v>
      </c>
      <c r="B24" s="89">
        <v>2978.0</v>
      </c>
    </row>
    <row r="25">
      <c r="A25" s="91" t="s">
        <v>53</v>
      </c>
      <c r="B25" s="89">
        <v>634.0</v>
      </c>
    </row>
    <row r="26">
      <c r="A26" s="91" t="s">
        <v>51</v>
      </c>
      <c r="B26" s="89">
        <v>1486.0</v>
      </c>
    </row>
    <row r="27">
      <c r="A27" s="91" t="s">
        <v>54</v>
      </c>
      <c r="B27" s="89">
        <v>991.0</v>
      </c>
    </row>
    <row r="28">
      <c r="A28" s="91"/>
    </row>
    <row r="29">
      <c r="A29" s="91"/>
    </row>
    <row r="30">
      <c r="A30" s="91"/>
    </row>
    <row r="31">
      <c r="A31" s="91"/>
    </row>
    <row r="32">
      <c r="A32" s="91"/>
    </row>
    <row r="33">
      <c r="A33" s="91"/>
    </row>
    <row r="34">
      <c r="A34" s="91"/>
    </row>
    <row r="35">
      <c r="A35" s="91"/>
    </row>
    <row r="36">
      <c r="A36" s="91"/>
    </row>
    <row r="37">
      <c r="A37" s="91"/>
    </row>
    <row r="38">
      <c r="A38" s="91"/>
    </row>
    <row r="39">
      <c r="A39" s="91"/>
    </row>
    <row r="40">
      <c r="A40" s="91"/>
    </row>
    <row r="41">
      <c r="A41" s="91"/>
    </row>
    <row r="42">
      <c r="A42" s="91"/>
    </row>
    <row r="43">
      <c r="A43" s="91"/>
    </row>
    <row r="44">
      <c r="A44" s="91"/>
    </row>
    <row r="45">
      <c r="A45" s="91"/>
    </row>
    <row r="46">
      <c r="A46" s="91"/>
    </row>
    <row r="47">
      <c r="A47" s="91"/>
    </row>
    <row r="48">
      <c r="A48" s="91"/>
    </row>
    <row r="49">
      <c r="A49" s="90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1"/>
    </row>
    <row r="81">
      <c r="A81" s="91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  <row r="91">
      <c r="A91" s="9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87" t="s">
        <v>35</v>
      </c>
      <c r="B1" s="87" t="s">
        <v>36</v>
      </c>
    </row>
    <row r="2">
      <c r="A2" s="88" t="s">
        <v>37</v>
      </c>
      <c r="B2" s="89">
        <v>231.0</v>
      </c>
    </row>
    <row r="3">
      <c r="A3" s="88" t="s">
        <v>38</v>
      </c>
      <c r="B3" s="89">
        <v>375.0</v>
      </c>
    </row>
    <row r="4">
      <c r="A4" s="88" t="s">
        <v>39</v>
      </c>
      <c r="B4" s="89">
        <v>559.0</v>
      </c>
    </row>
    <row r="5">
      <c r="A5" s="88" t="s">
        <v>40</v>
      </c>
      <c r="B5" s="89">
        <v>385.0</v>
      </c>
    </row>
    <row r="6">
      <c r="A6" s="88" t="s">
        <v>41</v>
      </c>
      <c r="B6" s="89">
        <v>485.0</v>
      </c>
    </row>
    <row r="7">
      <c r="A7" s="88" t="s">
        <v>42</v>
      </c>
      <c r="B7" s="89">
        <v>702.0</v>
      </c>
    </row>
    <row r="8">
      <c r="A8" s="88" t="s">
        <v>43</v>
      </c>
      <c r="B8" s="89">
        <v>1837.0</v>
      </c>
    </row>
    <row r="9">
      <c r="A9" s="90" t="s">
        <v>44</v>
      </c>
      <c r="B9" s="89">
        <v>481.0</v>
      </c>
    </row>
    <row r="10">
      <c r="A10" s="88" t="s">
        <v>45</v>
      </c>
      <c r="B10" s="89">
        <v>1075.0</v>
      </c>
    </row>
    <row r="11">
      <c r="A11" s="88" t="s">
        <v>46</v>
      </c>
      <c r="B11" s="89">
        <v>4687.0</v>
      </c>
    </row>
    <row r="12">
      <c r="A12" s="88" t="s">
        <v>47</v>
      </c>
      <c r="B12" s="89">
        <v>95.0</v>
      </c>
    </row>
    <row r="13">
      <c r="A13" s="88" t="s">
        <v>48</v>
      </c>
      <c r="B13" s="89">
        <v>617.0</v>
      </c>
    </row>
    <row r="14">
      <c r="A14" s="88" t="s">
        <v>18</v>
      </c>
      <c r="B14" s="89">
        <v>710.0</v>
      </c>
    </row>
    <row r="15">
      <c r="A15" s="88" t="s">
        <v>19</v>
      </c>
      <c r="B15" s="89">
        <v>774.0</v>
      </c>
    </row>
    <row r="16">
      <c r="A16" s="88" t="s">
        <v>20</v>
      </c>
      <c r="B16" s="89">
        <v>831.0</v>
      </c>
    </row>
    <row r="17">
      <c r="A17" s="88" t="s">
        <v>21</v>
      </c>
      <c r="B17" s="89">
        <v>1430.0</v>
      </c>
    </row>
    <row r="18">
      <c r="A18" s="88" t="s">
        <v>22</v>
      </c>
      <c r="B18" s="89">
        <v>1551.0</v>
      </c>
    </row>
    <row r="19">
      <c r="A19" s="88" t="s">
        <v>23</v>
      </c>
      <c r="B19" s="89">
        <v>2078.0</v>
      </c>
    </row>
    <row r="20">
      <c r="A20" s="88" t="s">
        <v>24</v>
      </c>
      <c r="B20" s="89">
        <v>2434.0</v>
      </c>
    </row>
    <row r="21">
      <c r="A21" s="88" t="s">
        <v>49</v>
      </c>
      <c r="B21" s="89">
        <v>2825.0</v>
      </c>
    </row>
    <row r="22">
      <c r="A22" s="88" t="s">
        <v>25</v>
      </c>
      <c r="B22" s="89">
        <v>3295.0</v>
      </c>
    </row>
    <row r="23">
      <c r="A23" s="88" t="s">
        <v>50</v>
      </c>
      <c r="B23" s="89">
        <v>3759.0</v>
      </c>
    </row>
    <row r="24">
      <c r="A24" s="91" t="s">
        <v>51</v>
      </c>
      <c r="B24" s="89">
        <v>1620.0</v>
      </c>
    </row>
    <row r="25">
      <c r="A25" s="91" t="s">
        <v>55</v>
      </c>
      <c r="B25" s="89">
        <v>712.0</v>
      </c>
    </row>
    <row r="26">
      <c r="A26" s="91"/>
    </row>
    <row r="27">
      <c r="A27" s="91"/>
    </row>
    <row r="28">
      <c r="A28" s="91"/>
    </row>
    <row r="29">
      <c r="A29" s="91"/>
    </row>
    <row r="30">
      <c r="A30" s="91"/>
    </row>
    <row r="31">
      <c r="A31" s="91"/>
    </row>
    <row r="32">
      <c r="A32" s="91"/>
    </row>
    <row r="33">
      <c r="A33" s="91"/>
    </row>
    <row r="34">
      <c r="A34" s="91"/>
    </row>
    <row r="35">
      <c r="A35" s="91"/>
    </row>
    <row r="36">
      <c r="A36" s="91"/>
    </row>
    <row r="37">
      <c r="A37" s="91"/>
    </row>
    <row r="38">
      <c r="A38" s="91"/>
    </row>
    <row r="39">
      <c r="A39" s="91"/>
    </row>
    <row r="40">
      <c r="A40" s="91"/>
    </row>
    <row r="41">
      <c r="A41" s="91"/>
    </row>
    <row r="42">
      <c r="A42" s="91"/>
    </row>
    <row r="43">
      <c r="A43" s="91"/>
    </row>
    <row r="44">
      <c r="A44" s="91"/>
    </row>
    <row r="45">
      <c r="A45" s="91"/>
    </row>
    <row r="46">
      <c r="A46" s="91"/>
    </row>
    <row r="47">
      <c r="A47" s="91"/>
    </row>
    <row r="48">
      <c r="A48" s="90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1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87" t="s">
        <v>35</v>
      </c>
      <c r="B1" s="87" t="s">
        <v>36</v>
      </c>
    </row>
    <row r="2">
      <c r="A2" s="89" t="s">
        <v>56</v>
      </c>
      <c r="B2" s="92">
        <v>60.0</v>
      </c>
    </row>
    <row r="3">
      <c r="A3" s="89" t="s">
        <v>57</v>
      </c>
      <c r="B3" s="92">
        <v>173.0</v>
      </c>
    </row>
    <row r="4">
      <c r="A4" s="89" t="s">
        <v>58</v>
      </c>
      <c r="B4" s="92">
        <v>208.0</v>
      </c>
    </row>
    <row r="5">
      <c r="A5" s="89" t="s">
        <v>59</v>
      </c>
      <c r="B5" s="92">
        <v>191.0</v>
      </c>
    </row>
    <row r="6">
      <c r="A6" s="89" t="s">
        <v>60</v>
      </c>
      <c r="B6" s="92">
        <v>280.0</v>
      </c>
    </row>
    <row r="7">
      <c r="A7" s="89" t="s">
        <v>61</v>
      </c>
      <c r="B7" s="92">
        <v>255.0</v>
      </c>
    </row>
    <row r="8">
      <c r="A8" s="89" t="s">
        <v>62</v>
      </c>
      <c r="B8" s="92">
        <v>312.0</v>
      </c>
    </row>
    <row r="9">
      <c r="A9" s="89" t="s">
        <v>63</v>
      </c>
      <c r="B9" s="92">
        <v>610.0</v>
      </c>
    </row>
    <row r="10">
      <c r="A10" s="89" t="s">
        <v>64</v>
      </c>
      <c r="B10" s="92">
        <v>63.0</v>
      </c>
    </row>
    <row r="11">
      <c r="A11" s="89" t="s">
        <v>65</v>
      </c>
      <c r="B11" s="92">
        <v>190.0</v>
      </c>
    </row>
    <row r="12">
      <c r="A12" s="89" t="s">
        <v>66</v>
      </c>
      <c r="B12" s="92">
        <v>233.0</v>
      </c>
    </row>
    <row r="13">
      <c r="A13" s="89" t="s">
        <v>67</v>
      </c>
      <c r="B13" s="92">
        <v>210.0</v>
      </c>
    </row>
    <row r="14">
      <c r="A14" s="89" t="s">
        <v>68</v>
      </c>
      <c r="B14" s="92">
        <v>310.0</v>
      </c>
    </row>
    <row r="15">
      <c r="A15" s="89" t="s">
        <v>69</v>
      </c>
      <c r="B15" s="92">
        <v>167.0</v>
      </c>
    </row>
    <row r="16">
      <c r="A16" s="89" t="s">
        <v>70</v>
      </c>
      <c r="B16" s="92">
        <v>315.0</v>
      </c>
    </row>
    <row r="17">
      <c r="A17" s="89" t="s">
        <v>71</v>
      </c>
      <c r="B17" s="92">
        <v>569.0</v>
      </c>
    </row>
    <row r="18">
      <c r="A18" s="89" t="s">
        <v>72</v>
      </c>
      <c r="B18" s="92">
        <v>637.0</v>
      </c>
    </row>
    <row r="19">
      <c r="A19" s="89" t="s">
        <v>73</v>
      </c>
      <c r="B19" s="92">
        <v>637.0</v>
      </c>
    </row>
    <row r="20">
      <c r="A20" s="89" t="s">
        <v>74</v>
      </c>
      <c r="B20" s="92">
        <v>183.0</v>
      </c>
    </row>
    <row r="21">
      <c r="A21" s="89" t="s">
        <v>75</v>
      </c>
      <c r="B21" s="92">
        <v>742.0</v>
      </c>
    </row>
    <row r="22">
      <c r="A22" s="89" t="s">
        <v>76</v>
      </c>
      <c r="B22" s="92">
        <v>183.0</v>
      </c>
    </row>
    <row r="23">
      <c r="A23" s="89" t="s">
        <v>77</v>
      </c>
      <c r="B23" s="92">
        <v>148.0</v>
      </c>
    </row>
    <row r="24">
      <c r="A24" s="89" t="s">
        <v>78</v>
      </c>
      <c r="B24" s="92">
        <v>45.0</v>
      </c>
    </row>
    <row r="25">
      <c r="A25" s="89" t="s">
        <v>79</v>
      </c>
      <c r="B25" s="92">
        <v>852.0</v>
      </c>
    </row>
    <row r="26">
      <c r="A26" s="89" t="s">
        <v>80</v>
      </c>
      <c r="B26" s="92">
        <v>400.0</v>
      </c>
    </row>
    <row r="27">
      <c r="A27" s="89" t="s">
        <v>81</v>
      </c>
      <c r="B27" s="92">
        <v>420.0</v>
      </c>
    </row>
    <row r="28">
      <c r="A28" s="89" t="s">
        <v>82</v>
      </c>
      <c r="B28" s="92">
        <v>337.0</v>
      </c>
    </row>
    <row r="29">
      <c r="A29" s="89" t="s">
        <v>83</v>
      </c>
      <c r="B29" s="92">
        <v>337.0</v>
      </c>
    </row>
    <row r="30">
      <c r="A30" s="89" t="s">
        <v>84</v>
      </c>
      <c r="B30" s="92">
        <v>337.0</v>
      </c>
    </row>
    <row r="31">
      <c r="A31" s="89" t="s">
        <v>85</v>
      </c>
      <c r="B31" s="92">
        <v>337.0</v>
      </c>
    </row>
    <row r="32">
      <c r="A32" s="89" t="s">
        <v>86</v>
      </c>
      <c r="B32" s="92">
        <v>337.0</v>
      </c>
    </row>
    <row r="33">
      <c r="A33" s="89" t="s">
        <v>87</v>
      </c>
      <c r="B33" s="92">
        <v>337.0</v>
      </c>
    </row>
    <row r="34">
      <c r="A34" s="88" t="s">
        <v>48</v>
      </c>
      <c r="B34" s="89">
        <v>132.0</v>
      </c>
      <c r="K34" s="89">
        <v>565.0</v>
      </c>
      <c r="L34" s="89">
        <v>567.0</v>
      </c>
    </row>
    <row r="35">
      <c r="A35" s="88" t="s">
        <v>18</v>
      </c>
      <c r="B35" s="89">
        <v>132.0</v>
      </c>
    </row>
    <row r="36">
      <c r="A36" s="88" t="s">
        <v>19</v>
      </c>
      <c r="B36" s="89">
        <v>158.0</v>
      </c>
    </row>
    <row r="37">
      <c r="A37" s="88" t="s">
        <v>20</v>
      </c>
      <c r="B37" s="89">
        <v>193.0</v>
      </c>
    </row>
    <row r="38">
      <c r="A38" s="88" t="s">
        <v>21</v>
      </c>
      <c r="B38" s="89">
        <v>262.0</v>
      </c>
    </row>
    <row r="39">
      <c r="A39" s="88" t="s">
        <v>22</v>
      </c>
      <c r="B39" s="89">
        <v>342.0</v>
      </c>
    </row>
    <row r="40">
      <c r="A40" s="88" t="s">
        <v>23</v>
      </c>
      <c r="B40" s="89">
        <v>342.0</v>
      </c>
    </row>
    <row r="41">
      <c r="A41" s="88" t="s">
        <v>24</v>
      </c>
      <c r="B41" s="89">
        <v>434.0</v>
      </c>
    </row>
    <row r="42">
      <c r="A42" s="88" t="s">
        <v>25</v>
      </c>
      <c r="B42" s="89">
        <v>565.0</v>
      </c>
    </row>
    <row r="43">
      <c r="A43" s="88" t="s">
        <v>88</v>
      </c>
      <c r="B43" s="89">
        <v>567.0</v>
      </c>
    </row>
    <row r="44">
      <c r="A44" s="91"/>
    </row>
    <row r="45">
      <c r="A45" s="91"/>
    </row>
    <row r="46">
      <c r="A46" s="91"/>
    </row>
    <row r="47">
      <c r="A47" s="90"/>
    </row>
    <row r="48">
      <c r="A48" s="91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0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3" t="s">
        <v>35</v>
      </c>
      <c r="B1" s="87" t="s">
        <v>36</v>
      </c>
    </row>
    <row r="2">
      <c r="A2" s="89" t="s">
        <v>56</v>
      </c>
      <c r="B2" s="92">
        <v>46.0</v>
      </c>
    </row>
    <row r="3">
      <c r="A3" s="89" t="s">
        <v>57</v>
      </c>
      <c r="B3" s="92">
        <v>144.0</v>
      </c>
    </row>
    <row r="4">
      <c r="A4" s="89" t="s">
        <v>58</v>
      </c>
      <c r="B4" s="92">
        <v>175.0</v>
      </c>
    </row>
    <row r="5">
      <c r="A5" s="89" t="s">
        <v>59</v>
      </c>
      <c r="B5" s="92">
        <v>160.0</v>
      </c>
    </row>
    <row r="6">
      <c r="A6" s="89" t="s">
        <v>60</v>
      </c>
      <c r="B6" s="92">
        <v>233.0</v>
      </c>
    </row>
    <row r="7">
      <c r="A7" s="89" t="s">
        <v>61</v>
      </c>
      <c r="B7" s="92">
        <v>213.0</v>
      </c>
    </row>
    <row r="8">
      <c r="A8" s="89" t="s">
        <v>62</v>
      </c>
      <c r="B8" s="92">
        <v>261.0</v>
      </c>
    </row>
    <row r="9">
      <c r="A9" s="89" t="s">
        <v>63</v>
      </c>
      <c r="B9" s="92">
        <v>508.0</v>
      </c>
    </row>
    <row r="10">
      <c r="A10" s="89" t="s">
        <v>64</v>
      </c>
      <c r="B10" s="92">
        <v>51.0</v>
      </c>
    </row>
    <row r="11">
      <c r="A11" s="89" t="s">
        <v>65</v>
      </c>
      <c r="B11" s="92">
        <v>159.0</v>
      </c>
    </row>
    <row r="12">
      <c r="A12" s="89" t="s">
        <v>66</v>
      </c>
      <c r="B12" s="92">
        <v>195.0</v>
      </c>
    </row>
    <row r="13">
      <c r="A13" s="89" t="s">
        <v>67</v>
      </c>
      <c r="B13" s="92">
        <v>175.0</v>
      </c>
    </row>
    <row r="14">
      <c r="A14" s="89" t="s">
        <v>68</v>
      </c>
      <c r="B14" s="92">
        <v>257.0</v>
      </c>
    </row>
    <row r="15">
      <c r="A15" s="89" t="s">
        <v>69</v>
      </c>
      <c r="B15" s="92">
        <v>139.0</v>
      </c>
    </row>
    <row r="16">
      <c r="A16" s="89" t="s">
        <v>70</v>
      </c>
      <c r="B16" s="92">
        <v>264.0</v>
      </c>
    </row>
    <row r="17">
      <c r="A17" s="89" t="s">
        <v>71</v>
      </c>
      <c r="B17" s="92">
        <v>475.0</v>
      </c>
    </row>
    <row r="18">
      <c r="A18" s="89" t="s">
        <v>72</v>
      </c>
      <c r="B18" s="92">
        <v>530.0</v>
      </c>
    </row>
    <row r="19">
      <c r="A19" s="89" t="s">
        <v>73</v>
      </c>
      <c r="B19" s="92">
        <v>530.0</v>
      </c>
    </row>
    <row r="20">
      <c r="A20" s="89" t="s">
        <v>74</v>
      </c>
      <c r="B20" s="92">
        <v>152.0</v>
      </c>
    </row>
    <row r="21">
      <c r="A21" s="89" t="s">
        <v>75</v>
      </c>
      <c r="B21" s="92">
        <v>619.0</v>
      </c>
    </row>
    <row r="22">
      <c r="A22" s="89" t="s">
        <v>76</v>
      </c>
      <c r="B22" s="92">
        <v>152.0</v>
      </c>
    </row>
    <row r="23">
      <c r="A23" s="89" t="s">
        <v>77</v>
      </c>
      <c r="B23" s="92">
        <v>123.0</v>
      </c>
    </row>
    <row r="24">
      <c r="A24" s="89" t="s">
        <v>78</v>
      </c>
      <c r="B24" s="92">
        <v>37.0</v>
      </c>
    </row>
    <row r="25">
      <c r="A25" s="89" t="s">
        <v>79</v>
      </c>
      <c r="B25" s="92">
        <v>707.0</v>
      </c>
    </row>
    <row r="26">
      <c r="A26" s="89" t="s">
        <v>80</v>
      </c>
      <c r="B26" s="92">
        <v>350.0</v>
      </c>
    </row>
    <row r="27">
      <c r="A27" s="89" t="s">
        <v>81</v>
      </c>
      <c r="B27" s="92">
        <v>360.0</v>
      </c>
    </row>
    <row r="28">
      <c r="A28" s="89" t="s">
        <v>82</v>
      </c>
      <c r="B28" s="92">
        <v>280.0</v>
      </c>
    </row>
    <row r="29">
      <c r="A29" s="89" t="s">
        <v>83</v>
      </c>
      <c r="B29" s="92">
        <v>280.0</v>
      </c>
    </row>
    <row r="30">
      <c r="A30" s="89" t="s">
        <v>84</v>
      </c>
      <c r="B30" s="92">
        <v>280.0</v>
      </c>
    </row>
    <row r="31">
      <c r="A31" s="89" t="s">
        <v>85</v>
      </c>
      <c r="B31" s="92">
        <v>280.0</v>
      </c>
    </row>
    <row r="32">
      <c r="A32" s="89" t="s">
        <v>86</v>
      </c>
      <c r="B32" s="92">
        <v>280.0</v>
      </c>
    </row>
    <row r="33">
      <c r="A33" s="89" t="s">
        <v>87</v>
      </c>
      <c r="B33" s="92">
        <v>280.0</v>
      </c>
    </row>
    <row r="34">
      <c r="A34" s="88" t="s">
        <v>48</v>
      </c>
      <c r="B34" s="89">
        <v>112.0</v>
      </c>
    </row>
    <row r="35">
      <c r="A35" s="88" t="s">
        <v>18</v>
      </c>
      <c r="B35" s="89">
        <v>112.0</v>
      </c>
    </row>
    <row r="36">
      <c r="A36" s="88" t="s">
        <v>19</v>
      </c>
      <c r="B36" s="89">
        <v>134.0</v>
      </c>
    </row>
    <row r="37">
      <c r="A37" s="88" t="s">
        <v>20</v>
      </c>
      <c r="B37" s="89">
        <v>164.0</v>
      </c>
    </row>
    <row r="38">
      <c r="A38" s="88" t="s">
        <v>21</v>
      </c>
      <c r="B38" s="89">
        <v>222.0</v>
      </c>
    </row>
    <row r="39">
      <c r="A39" s="88" t="s">
        <v>22</v>
      </c>
      <c r="B39" s="89">
        <v>293.0</v>
      </c>
    </row>
    <row r="40">
      <c r="A40" s="88" t="s">
        <v>23</v>
      </c>
      <c r="B40" s="89">
        <v>293.0</v>
      </c>
    </row>
    <row r="41">
      <c r="A41" s="88" t="s">
        <v>24</v>
      </c>
      <c r="B41" s="89">
        <v>370.0</v>
      </c>
    </row>
    <row r="42">
      <c r="A42" s="88" t="s">
        <v>25</v>
      </c>
      <c r="B42" s="89">
        <v>481.0</v>
      </c>
    </row>
    <row r="43">
      <c r="A43" s="88" t="s">
        <v>88</v>
      </c>
      <c r="B43" s="89">
        <v>482.0</v>
      </c>
    </row>
    <row r="44">
      <c r="A44" s="91"/>
    </row>
    <row r="45">
      <c r="A45" s="91"/>
    </row>
    <row r="46">
      <c r="A46" s="91"/>
    </row>
    <row r="47">
      <c r="A47" s="91"/>
    </row>
    <row r="48">
      <c r="A48" s="90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1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4" t="s">
        <v>35</v>
      </c>
      <c r="B1" s="87" t="s">
        <v>36</v>
      </c>
    </row>
    <row r="2">
      <c r="A2" s="89" t="s">
        <v>56</v>
      </c>
      <c r="B2" s="92">
        <v>66.0</v>
      </c>
    </row>
    <row r="3">
      <c r="A3" s="89" t="s">
        <v>57</v>
      </c>
      <c r="B3" s="92">
        <v>172.0</v>
      </c>
    </row>
    <row r="4">
      <c r="A4" s="89" t="s">
        <v>58</v>
      </c>
      <c r="B4" s="92">
        <v>199.0</v>
      </c>
    </row>
    <row r="5">
      <c r="A5" s="89" t="s">
        <v>89</v>
      </c>
      <c r="B5" s="92">
        <v>260.0</v>
      </c>
    </row>
    <row r="6">
      <c r="A6" s="89" t="s">
        <v>59</v>
      </c>
      <c r="B6" s="92">
        <v>189.0</v>
      </c>
    </row>
    <row r="7">
      <c r="A7" s="89" t="s">
        <v>60</v>
      </c>
      <c r="B7" s="92">
        <v>228.0</v>
      </c>
    </row>
    <row r="8">
      <c r="A8" s="89" t="s">
        <v>90</v>
      </c>
      <c r="B8" s="92">
        <v>293.0</v>
      </c>
    </row>
    <row r="9">
      <c r="A9" s="89" t="s">
        <v>91</v>
      </c>
      <c r="B9" s="92">
        <v>326.0</v>
      </c>
    </row>
    <row r="10">
      <c r="A10" s="89" t="s">
        <v>63</v>
      </c>
      <c r="B10" s="92">
        <v>586.0</v>
      </c>
    </row>
    <row r="11">
      <c r="A11" s="89" t="s">
        <v>69</v>
      </c>
      <c r="B11" s="92">
        <v>163.0</v>
      </c>
    </row>
    <row r="12">
      <c r="A12" s="89" t="s">
        <v>70</v>
      </c>
      <c r="B12" s="92">
        <v>274.0</v>
      </c>
    </row>
    <row r="13">
      <c r="A13" s="89" t="s">
        <v>92</v>
      </c>
      <c r="B13" s="92">
        <v>0.0</v>
      </c>
    </row>
    <row r="14">
      <c r="A14" s="89" t="s">
        <v>71</v>
      </c>
      <c r="B14" s="92">
        <v>548.0</v>
      </c>
    </row>
    <row r="15">
      <c r="A15" s="89" t="s">
        <v>72</v>
      </c>
      <c r="B15" s="92">
        <v>568.0</v>
      </c>
    </row>
    <row r="16">
      <c r="A16" s="89" t="s">
        <v>74</v>
      </c>
      <c r="B16" s="92">
        <v>175.0</v>
      </c>
    </row>
    <row r="17">
      <c r="A17" s="89" t="s">
        <v>75</v>
      </c>
      <c r="B17" s="92">
        <v>582.0</v>
      </c>
    </row>
    <row r="18">
      <c r="A18" s="89" t="s">
        <v>76</v>
      </c>
      <c r="B18" s="92">
        <v>163.0</v>
      </c>
    </row>
    <row r="19">
      <c r="A19" s="89" t="s">
        <v>93</v>
      </c>
      <c r="B19" s="92">
        <v>39.0</v>
      </c>
    </row>
    <row r="20">
      <c r="A20" s="89" t="s">
        <v>77</v>
      </c>
      <c r="B20" s="92">
        <v>117.0</v>
      </c>
    </row>
    <row r="21">
      <c r="A21" s="89" t="s">
        <v>94</v>
      </c>
      <c r="B21" s="92">
        <v>394.0</v>
      </c>
    </row>
    <row r="22">
      <c r="A22" s="89" t="s">
        <v>79</v>
      </c>
      <c r="B22" s="92">
        <v>1113.0</v>
      </c>
    </row>
    <row r="23">
      <c r="A23" s="89" t="s">
        <v>95</v>
      </c>
      <c r="B23" s="92">
        <v>1407.0</v>
      </c>
    </row>
    <row r="24">
      <c r="A24" s="89" t="s">
        <v>86</v>
      </c>
      <c r="B24" s="92">
        <v>321.0</v>
      </c>
    </row>
    <row r="25">
      <c r="A25" s="89" t="s">
        <v>87</v>
      </c>
      <c r="B25" s="92">
        <v>321.0</v>
      </c>
    </row>
    <row r="26">
      <c r="A26" s="89" t="s">
        <v>81</v>
      </c>
      <c r="B26" s="92">
        <v>405.0</v>
      </c>
    </row>
    <row r="27">
      <c r="A27" s="88" t="s">
        <v>48</v>
      </c>
      <c r="B27" s="89">
        <v>135.0</v>
      </c>
    </row>
    <row r="28">
      <c r="A28" s="88" t="s">
        <v>18</v>
      </c>
      <c r="B28" s="89">
        <v>136.0</v>
      </c>
    </row>
    <row r="29">
      <c r="A29" s="88" t="s">
        <v>19</v>
      </c>
      <c r="B29" s="89">
        <v>158.0</v>
      </c>
    </row>
    <row r="30">
      <c r="A30" s="88" t="s">
        <v>20</v>
      </c>
      <c r="B30" s="89">
        <v>195.0</v>
      </c>
    </row>
    <row r="31">
      <c r="A31" s="88" t="s">
        <v>21</v>
      </c>
      <c r="B31" s="89">
        <v>266.0</v>
      </c>
    </row>
    <row r="32">
      <c r="A32" s="88" t="s">
        <v>22</v>
      </c>
      <c r="B32" s="89">
        <v>358.0</v>
      </c>
    </row>
    <row r="33">
      <c r="A33" s="88" t="s">
        <v>23</v>
      </c>
      <c r="B33" s="89">
        <v>358.0</v>
      </c>
    </row>
    <row r="34">
      <c r="A34" s="88" t="s">
        <v>96</v>
      </c>
      <c r="B34" s="89">
        <v>411.0</v>
      </c>
    </row>
    <row r="35">
      <c r="A35" s="88" t="s">
        <v>24</v>
      </c>
      <c r="B35" s="89">
        <v>412.0</v>
      </c>
    </row>
    <row r="36">
      <c r="A36" s="88" t="s">
        <v>25</v>
      </c>
      <c r="B36" s="89">
        <v>499.0</v>
      </c>
    </row>
    <row r="37">
      <c r="A37" s="88" t="s">
        <v>88</v>
      </c>
      <c r="B37" s="89">
        <v>524.0</v>
      </c>
    </row>
    <row r="38">
      <c r="A38" s="91"/>
    </row>
    <row r="39">
      <c r="A39" s="91"/>
    </row>
    <row r="40">
      <c r="A40" s="91"/>
    </row>
    <row r="41">
      <c r="A41" s="91"/>
    </row>
    <row r="42">
      <c r="A42" s="90"/>
    </row>
    <row r="43">
      <c r="A43" s="91"/>
    </row>
    <row r="44">
      <c r="A44" s="91"/>
    </row>
    <row r="45">
      <c r="A45" s="91"/>
    </row>
    <row r="46">
      <c r="A46" s="91"/>
    </row>
    <row r="47">
      <c r="A47" s="91"/>
    </row>
    <row r="48">
      <c r="A48" s="91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0"/>
    </row>
    <row r="76">
      <c r="A76" s="90"/>
    </row>
    <row r="77">
      <c r="A77" s="90"/>
    </row>
    <row r="78">
      <c r="A78" s="90"/>
    </row>
    <row r="79">
      <c r="A79" s="90"/>
    </row>
    <row r="80">
      <c r="A80" s="90"/>
    </row>
    <row r="81">
      <c r="A81" s="90"/>
    </row>
    <row r="82">
      <c r="A82" s="90"/>
    </row>
    <row r="83">
      <c r="A83" s="90"/>
    </row>
    <row r="84">
      <c r="A84" s="9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4" t="s">
        <v>35</v>
      </c>
      <c r="B1" s="87" t="s">
        <v>36</v>
      </c>
    </row>
    <row r="2">
      <c r="A2" s="89" t="s">
        <v>56</v>
      </c>
      <c r="B2" s="92">
        <v>88.0</v>
      </c>
    </row>
    <row r="3">
      <c r="A3" s="89" t="s">
        <v>57</v>
      </c>
      <c r="B3" s="92">
        <v>247.0</v>
      </c>
    </row>
    <row r="4">
      <c r="A4" s="89" t="s">
        <v>58</v>
      </c>
      <c r="B4" s="92">
        <v>287.0</v>
      </c>
    </row>
    <row r="5">
      <c r="A5" s="89" t="s">
        <v>89</v>
      </c>
      <c r="B5" s="92">
        <v>374.0</v>
      </c>
    </row>
    <row r="6">
      <c r="A6" s="89" t="s">
        <v>59</v>
      </c>
      <c r="B6" s="92">
        <v>251.0</v>
      </c>
    </row>
    <row r="7">
      <c r="A7" s="89" t="s">
        <v>60</v>
      </c>
      <c r="B7" s="92">
        <v>321.0</v>
      </c>
    </row>
    <row r="8">
      <c r="A8" s="89" t="s">
        <v>90</v>
      </c>
      <c r="B8" s="92">
        <v>414.0</v>
      </c>
    </row>
    <row r="9">
      <c r="A9" s="89" t="s">
        <v>91</v>
      </c>
      <c r="B9" s="92">
        <v>465.0</v>
      </c>
    </row>
    <row r="10">
      <c r="A10" s="89" t="s">
        <v>63</v>
      </c>
      <c r="B10" s="92">
        <v>841.0</v>
      </c>
    </row>
    <row r="11">
      <c r="A11" s="89" t="s">
        <v>69</v>
      </c>
      <c r="B11" s="92">
        <v>222.0</v>
      </c>
    </row>
    <row r="12">
      <c r="A12" s="89" t="s">
        <v>70</v>
      </c>
      <c r="B12" s="92">
        <v>378.0</v>
      </c>
    </row>
    <row r="13">
      <c r="A13" s="89" t="s">
        <v>92</v>
      </c>
      <c r="B13" s="92">
        <v>1100.0</v>
      </c>
    </row>
    <row r="14">
      <c r="A14" s="89" t="s">
        <v>71</v>
      </c>
      <c r="B14" s="92">
        <v>724.0</v>
      </c>
    </row>
    <row r="15">
      <c r="A15" s="89" t="s">
        <v>72</v>
      </c>
      <c r="B15" s="92">
        <v>772.0</v>
      </c>
    </row>
    <row r="16">
      <c r="A16" s="89" t="s">
        <v>74</v>
      </c>
      <c r="B16" s="92">
        <v>315.0</v>
      </c>
    </row>
    <row r="17">
      <c r="A17" s="89" t="s">
        <v>75</v>
      </c>
      <c r="B17" s="92">
        <v>1001.0</v>
      </c>
    </row>
    <row r="18">
      <c r="A18" s="89" t="s">
        <v>76</v>
      </c>
      <c r="B18" s="92">
        <v>288.0</v>
      </c>
    </row>
    <row r="19">
      <c r="A19" s="89" t="s">
        <v>93</v>
      </c>
      <c r="B19" s="92">
        <v>59.0</v>
      </c>
    </row>
    <row r="20">
      <c r="A20" s="89" t="s">
        <v>77</v>
      </c>
      <c r="B20" s="92">
        <v>174.0</v>
      </c>
    </row>
    <row r="21">
      <c r="A21" s="89" t="s">
        <v>94</v>
      </c>
      <c r="B21" s="92">
        <v>649.0</v>
      </c>
    </row>
    <row r="22">
      <c r="A22" s="89" t="s">
        <v>79</v>
      </c>
      <c r="B22" s="92">
        <v>1486.0</v>
      </c>
    </row>
    <row r="23">
      <c r="A23" s="89" t="s">
        <v>95</v>
      </c>
      <c r="B23" s="92">
        <v>1674.0</v>
      </c>
    </row>
    <row r="24">
      <c r="A24" s="89" t="s">
        <v>86</v>
      </c>
      <c r="B24" s="92">
        <v>465.0</v>
      </c>
    </row>
    <row r="25">
      <c r="A25" s="89" t="s">
        <v>87</v>
      </c>
      <c r="B25" s="92">
        <v>470.0</v>
      </c>
    </row>
    <row r="26">
      <c r="A26" s="89" t="s">
        <v>81</v>
      </c>
      <c r="B26" s="92">
        <v>671.0</v>
      </c>
    </row>
    <row r="27">
      <c r="A27" s="88" t="s">
        <v>48</v>
      </c>
      <c r="B27" s="92">
        <v>178.0</v>
      </c>
    </row>
    <row r="28">
      <c r="A28" s="88" t="s">
        <v>18</v>
      </c>
      <c r="B28" s="92">
        <v>178.0</v>
      </c>
    </row>
    <row r="29">
      <c r="A29" s="88" t="s">
        <v>19</v>
      </c>
      <c r="B29" s="92">
        <v>206.0</v>
      </c>
    </row>
    <row r="30">
      <c r="A30" s="88" t="s">
        <v>20</v>
      </c>
      <c r="B30" s="92">
        <v>254.0</v>
      </c>
    </row>
    <row r="31">
      <c r="A31" s="88" t="s">
        <v>21</v>
      </c>
      <c r="B31" s="92">
        <v>353.0</v>
      </c>
    </row>
    <row r="32">
      <c r="A32" s="88" t="s">
        <v>22</v>
      </c>
      <c r="B32" s="92">
        <v>467.0</v>
      </c>
    </row>
    <row r="33">
      <c r="A33" s="88" t="s">
        <v>23</v>
      </c>
      <c r="B33" s="92">
        <v>467.0</v>
      </c>
    </row>
    <row r="34">
      <c r="A34" s="88" t="s">
        <v>96</v>
      </c>
      <c r="B34" s="89">
        <v>633.0</v>
      </c>
    </row>
    <row r="35">
      <c r="A35" s="88" t="s">
        <v>24</v>
      </c>
      <c r="B35" s="89">
        <v>655.0</v>
      </c>
    </row>
    <row r="36">
      <c r="A36" s="88" t="s">
        <v>25</v>
      </c>
      <c r="B36" s="89">
        <v>798.0</v>
      </c>
    </row>
    <row r="37">
      <c r="A37" s="88" t="s">
        <v>88</v>
      </c>
      <c r="B37" s="89">
        <v>837.0</v>
      </c>
    </row>
    <row r="38">
      <c r="A38" s="88"/>
    </row>
    <row r="39">
      <c r="A39" s="88"/>
    </row>
    <row r="40">
      <c r="A40" s="88"/>
    </row>
    <row r="41">
      <c r="A41" s="88"/>
    </row>
    <row r="42">
      <c r="A42" s="88"/>
    </row>
    <row r="43">
      <c r="A43" s="88"/>
    </row>
    <row r="44">
      <c r="A44" s="91"/>
    </row>
    <row r="45">
      <c r="A45" s="91"/>
    </row>
    <row r="46">
      <c r="A46" s="91"/>
    </row>
    <row r="47">
      <c r="A47" s="91"/>
    </row>
    <row r="48">
      <c r="A48" s="90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1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4" t="s">
        <v>35</v>
      </c>
      <c r="B1" s="87" t="s">
        <v>36</v>
      </c>
    </row>
    <row r="2">
      <c r="A2" s="95" t="s">
        <v>56</v>
      </c>
      <c r="B2" s="92">
        <v>63.0</v>
      </c>
    </row>
    <row r="3">
      <c r="A3" s="95" t="s">
        <v>57</v>
      </c>
      <c r="B3" s="92">
        <v>166.0</v>
      </c>
    </row>
    <row r="4">
      <c r="A4" s="95" t="s">
        <v>58</v>
      </c>
      <c r="B4" s="92">
        <v>192.0</v>
      </c>
    </row>
    <row r="5">
      <c r="A5" s="95" t="s">
        <v>89</v>
      </c>
      <c r="B5" s="92">
        <v>253.0</v>
      </c>
    </row>
    <row r="6">
      <c r="A6" s="95" t="s">
        <v>59</v>
      </c>
      <c r="B6" s="92">
        <v>183.0</v>
      </c>
    </row>
    <row r="7">
      <c r="A7" s="95" t="s">
        <v>60</v>
      </c>
      <c r="B7" s="92">
        <v>215.0</v>
      </c>
    </row>
    <row r="8">
      <c r="A8" s="95" t="s">
        <v>63</v>
      </c>
      <c r="B8" s="92">
        <v>563.0</v>
      </c>
    </row>
    <row r="9">
      <c r="A9" s="95" t="s">
        <v>97</v>
      </c>
      <c r="B9" s="92">
        <v>55.0</v>
      </c>
    </row>
    <row r="10">
      <c r="A10" s="95" t="s">
        <v>98</v>
      </c>
      <c r="B10" s="92">
        <v>172.0</v>
      </c>
    </row>
    <row r="11">
      <c r="A11" s="95" t="s">
        <v>99</v>
      </c>
      <c r="B11" s="92">
        <v>200.0</v>
      </c>
    </row>
    <row r="12">
      <c r="A12" s="95" t="s">
        <v>100</v>
      </c>
      <c r="B12" s="92">
        <v>189.0</v>
      </c>
    </row>
    <row r="13">
      <c r="A13" s="95" t="s">
        <v>101</v>
      </c>
      <c r="B13" s="92">
        <v>223.0</v>
      </c>
    </row>
    <row r="14">
      <c r="A14" s="95" t="s">
        <v>69</v>
      </c>
      <c r="B14" s="92">
        <v>163.0</v>
      </c>
    </row>
    <row r="15">
      <c r="A15" s="95" t="s">
        <v>70</v>
      </c>
      <c r="B15" s="92">
        <v>274.0</v>
      </c>
    </row>
    <row r="16">
      <c r="A16" s="95" t="s">
        <v>92</v>
      </c>
      <c r="B16" s="92">
        <v>768.0</v>
      </c>
    </row>
    <row r="17">
      <c r="A17" s="95" t="s">
        <v>71</v>
      </c>
      <c r="B17" s="92">
        <v>520.0</v>
      </c>
    </row>
    <row r="18">
      <c r="A18" s="95" t="s">
        <v>72</v>
      </c>
      <c r="B18" s="92">
        <v>581.0</v>
      </c>
    </row>
    <row r="19">
      <c r="A19" s="95" t="s">
        <v>74</v>
      </c>
      <c r="B19" s="92">
        <v>175.0</v>
      </c>
    </row>
    <row r="20">
      <c r="A20" s="95" t="s">
        <v>75</v>
      </c>
      <c r="B20" s="92">
        <v>582.0</v>
      </c>
    </row>
    <row r="21">
      <c r="A21" s="95" t="s">
        <v>76</v>
      </c>
      <c r="B21" s="92">
        <v>163.0</v>
      </c>
    </row>
    <row r="22">
      <c r="A22" s="95" t="s">
        <v>93</v>
      </c>
      <c r="B22" s="92">
        <v>39.0</v>
      </c>
    </row>
    <row r="23">
      <c r="A23" s="95" t="s">
        <v>77</v>
      </c>
      <c r="B23" s="92">
        <v>117.0</v>
      </c>
    </row>
    <row r="24">
      <c r="A24" s="95" t="s">
        <v>94</v>
      </c>
      <c r="B24" s="92">
        <v>379.0</v>
      </c>
    </row>
    <row r="25">
      <c r="A25" s="95" t="s">
        <v>79</v>
      </c>
      <c r="B25" s="92">
        <v>1113.0</v>
      </c>
    </row>
    <row r="26">
      <c r="A26" s="89" t="s">
        <v>95</v>
      </c>
      <c r="B26" s="92">
        <v>1407.0</v>
      </c>
    </row>
    <row r="27">
      <c r="A27" s="95" t="s">
        <v>80</v>
      </c>
      <c r="B27" s="92">
        <v>0.0</v>
      </c>
    </row>
    <row r="28">
      <c r="A28" s="95" t="s">
        <v>81</v>
      </c>
      <c r="B28" s="92">
        <v>405.0</v>
      </c>
    </row>
    <row r="29">
      <c r="A29" s="95" t="s">
        <v>102</v>
      </c>
      <c r="B29" s="92">
        <v>671.0</v>
      </c>
    </row>
    <row r="30">
      <c r="A30" s="95" t="s">
        <v>83</v>
      </c>
      <c r="B30" s="92">
        <v>324.0</v>
      </c>
    </row>
    <row r="31">
      <c r="A31" s="95" t="s">
        <v>84</v>
      </c>
      <c r="B31" s="92">
        <v>324.0</v>
      </c>
    </row>
    <row r="32">
      <c r="A32" s="95" t="s">
        <v>85</v>
      </c>
      <c r="B32" s="92">
        <v>324.0</v>
      </c>
    </row>
    <row r="33">
      <c r="A33" s="95" t="s">
        <v>86</v>
      </c>
      <c r="B33" s="92">
        <v>324.0</v>
      </c>
    </row>
    <row r="34">
      <c r="A34" s="95" t="s">
        <v>87</v>
      </c>
      <c r="B34" s="89">
        <v>324.0</v>
      </c>
    </row>
    <row r="35">
      <c r="A35" s="96" t="s">
        <v>48</v>
      </c>
      <c r="B35" s="89">
        <v>122.0</v>
      </c>
    </row>
    <row r="36">
      <c r="A36" s="96" t="s">
        <v>18</v>
      </c>
      <c r="B36" s="89">
        <v>130.0</v>
      </c>
    </row>
    <row r="37">
      <c r="A37" s="96" t="s">
        <v>19</v>
      </c>
      <c r="B37" s="89">
        <v>137.0</v>
      </c>
    </row>
    <row r="38">
      <c r="A38" s="96" t="s">
        <v>20</v>
      </c>
      <c r="B38" s="89">
        <v>171.0</v>
      </c>
    </row>
    <row r="39">
      <c r="A39" s="96" t="s">
        <v>21</v>
      </c>
      <c r="B39" s="89">
        <v>233.0</v>
      </c>
    </row>
    <row r="40">
      <c r="A40" s="96" t="s">
        <v>22</v>
      </c>
      <c r="B40" s="89">
        <v>313.0</v>
      </c>
    </row>
    <row r="41">
      <c r="A41" s="96" t="s">
        <v>23</v>
      </c>
      <c r="B41" s="89">
        <v>313.0</v>
      </c>
    </row>
    <row r="42">
      <c r="A42" s="96" t="s">
        <v>96</v>
      </c>
      <c r="B42" s="89">
        <v>357.0</v>
      </c>
    </row>
    <row r="43">
      <c r="A43" s="96" t="s">
        <v>24</v>
      </c>
      <c r="B43" s="89">
        <v>362.0</v>
      </c>
    </row>
    <row r="44">
      <c r="A44" s="96" t="s">
        <v>25</v>
      </c>
      <c r="B44" s="89">
        <v>437.0</v>
      </c>
    </row>
    <row r="45">
      <c r="A45" s="96" t="s">
        <v>88</v>
      </c>
      <c r="B45" s="89">
        <v>461.0</v>
      </c>
    </row>
    <row r="46">
      <c r="A46" s="91"/>
      <c r="B46" s="89"/>
    </row>
    <row r="47">
      <c r="A47" s="91"/>
    </row>
    <row r="48">
      <c r="A48" s="90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1"/>
    </row>
    <row r="81">
      <c r="A81" s="90"/>
    </row>
    <row r="82">
      <c r="A82" s="90"/>
    </row>
    <row r="83">
      <c r="A83" s="90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4" t="s">
        <v>35</v>
      </c>
      <c r="B1" s="87" t="s">
        <v>36</v>
      </c>
    </row>
    <row r="2">
      <c r="A2" s="89" t="s">
        <v>103</v>
      </c>
      <c r="B2" s="92">
        <v>68.0</v>
      </c>
    </row>
    <row r="3">
      <c r="A3" s="89" t="s">
        <v>57</v>
      </c>
      <c r="B3" s="92">
        <v>221.0</v>
      </c>
    </row>
    <row r="4">
      <c r="A4" s="89" t="s">
        <v>58</v>
      </c>
      <c r="B4" s="92">
        <v>254.0</v>
      </c>
    </row>
    <row r="5">
      <c r="A5" s="89" t="s">
        <v>89</v>
      </c>
      <c r="B5" s="92">
        <v>335.0</v>
      </c>
    </row>
    <row r="6">
      <c r="A6" s="89" t="s">
        <v>59</v>
      </c>
      <c r="B6" s="92">
        <v>223.0</v>
      </c>
    </row>
    <row r="7">
      <c r="A7" s="89" t="s">
        <v>60</v>
      </c>
      <c r="B7" s="92">
        <v>289.0</v>
      </c>
    </row>
    <row r="8">
      <c r="A8" s="89" t="s">
        <v>63</v>
      </c>
      <c r="B8" s="92">
        <v>751.0</v>
      </c>
    </row>
    <row r="9">
      <c r="A9" s="89" t="s">
        <v>97</v>
      </c>
      <c r="B9" s="92">
        <v>70.0</v>
      </c>
    </row>
    <row r="10">
      <c r="A10" s="89" t="s">
        <v>98</v>
      </c>
      <c r="B10" s="92">
        <v>223.0</v>
      </c>
    </row>
    <row r="11">
      <c r="A11" s="89" t="s">
        <v>99</v>
      </c>
      <c r="B11" s="92">
        <v>223.0</v>
      </c>
    </row>
    <row r="12">
      <c r="A12" s="89" t="s">
        <v>100</v>
      </c>
      <c r="B12" s="92">
        <v>223.0</v>
      </c>
    </row>
    <row r="13">
      <c r="A13" s="89" t="s">
        <v>69</v>
      </c>
      <c r="B13" s="92">
        <v>203.0</v>
      </c>
    </row>
    <row r="14">
      <c r="A14" s="89" t="s">
        <v>70</v>
      </c>
      <c r="B14" s="92">
        <v>338.0</v>
      </c>
    </row>
    <row r="15">
      <c r="A15" s="89" t="s">
        <v>92</v>
      </c>
      <c r="B15" s="92">
        <v>1028.0</v>
      </c>
    </row>
    <row r="16">
      <c r="A16" s="89" t="s">
        <v>71</v>
      </c>
      <c r="B16" s="92">
        <v>638.0</v>
      </c>
    </row>
    <row r="17">
      <c r="A17" s="89" t="s">
        <v>72</v>
      </c>
      <c r="B17" s="92">
        <v>712.0</v>
      </c>
    </row>
    <row r="18">
      <c r="A18" s="89" t="s">
        <v>74</v>
      </c>
      <c r="B18" s="92">
        <v>270.0</v>
      </c>
    </row>
    <row r="19">
      <c r="A19" s="89" t="s">
        <v>75</v>
      </c>
      <c r="B19" s="92">
        <v>899.0</v>
      </c>
    </row>
    <row r="20">
      <c r="A20" s="89" t="s">
        <v>76</v>
      </c>
      <c r="B20" s="92">
        <v>245.0</v>
      </c>
    </row>
    <row r="21">
      <c r="A21" s="89" t="s">
        <v>93</v>
      </c>
      <c r="B21" s="92">
        <v>50.0</v>
      </c>
    </row>
    <row r="22">
      <c r="A22" s="89" t="s">
        <v>77</v>
      </c>
      <c r="B22" s="92">
        <v>162.0</v>
      </c>
    </row>
    <row r="23">
      <c r="A23" s="89" t="s">
        <v>94</v>
      </c>
      <c r="B23" s="92">
        <v>662.0</v>
      </c>
    </row>
    <row r="24">
      <c r="A24" s="89" t="s">
        <v>79</v>
      </c>
      <c r="B24" s="92">
        <v>1389.0</v>
      </c>
    </row>
    <row r="25">
      <c r="A25" s="89" t="s">
        <v>95</v>
      </c>
      <c r="B25" s="92">
        <v>1626.0</v>
      </c>
    </row>
    <row r="26">
      <c r="A26" s="89" t="s">
        <v>80</v>
      </c>
      <c r="B26" s="92">
        <v>582.0</v>
      </c>
    </row>
    <row r="27">
      <c r="A27" s="89" t="s">
        <v>81</v>
      </c>
      <c r="B27" s="92">
        <v>609.0</v>
      </c>
    </row>
    <row r="28">
      <c r="A28" s="89" t="s">
        <v>102</v>
      </c>
      <c r="B28" s="92">
        <v>897.0</v>
      </c>
    </row>
    <row r="29">
      <c r="A29" s="89" t="s">
        <v>83</v>
      </c>
      <c r="B29" s="92">
        <v>428.0</v>
      </c>
    </row>
    <row r="30">
      <c r="A30" s="89" t="s">
        <v>84</v>
      </c>
      <c r="B30" s="92">
        <v>428.0</v>
      </c>
    </row>
    <row r="31">
      <c r="A31" s="89" t="s">
        <v>85</v>
      </c>
      <c r="B31" s="92">
        <v>428.0</v>
      </c>
    </row>
    <row r="32">
      <c r="A32" s="89" t="s">
        <v>86</v>
      </c>
      <c r="B32" s="92">
        <v>428.0</v>
      </c>
    </row>
    <row r="33">
      <c r="A33" s="89" t="s">
        <v>87</v>
      </c>
      <c r="B33" s="92">
        <v>428.0</v>
      </c>
    </row>
    <row r="34">
      <c r="A34" s="88" t="s">
        <v>48</v>
      </c>
      <c r="B34" s="92">
        <v>164.0</v>
      </c>
    </row>
    <row r="35">
      <c r="A35" s="88" t="s">
        <v>18</v>
      </c>
      <c r="B35" s="92">
        <v>164.0</v>
      </c>
    </row>
    <row r="36">
      <c r="A36" s="88" t="s">
        <v>19</v>
      </c>
      <c r="B36" s="92">
        <v>186.0</v>
      </c>
    </row>
    <row r="37">
      <c r="A37" s="88" t="s">
        <v>20</v>
      </c>
      <c r="B37" s="89">
        <v>230.0</v>
      </c>
    </row>
    <row r="38">
      <c r="A38" s="88" t="s">
        <v>21</v>
      </c>
      <c r="B38" s="89">
        <v>321.0</v>
      </c>
    </row>
    <row r="39">
      <c r="A39" s="88" t="s">
        <v>22</v>
      </c>
      <c r="B39" s="89">
        <v>421.0</v>
      </c>
    </row>
    <row r="40">
      <c r="A40" s="88" t="s">
        <v>23</v>
      </c>
      <c r="B40" s="89">
        <v>421.0</v>
      </c>
    </row>
    <row r="41">
      <c r="A41" s="88" t="s">
        <v>96</v>
      </c>
      <c r="B41" s="89">
        <v>484.0</v>
      </c>
    </row>
    <row r="42">
      <c r="A42" s="88" t="s">
        <v>24</v>
      </c>
      <c r="B42" s="89">
        <v>489.0</v>
      </c>
    </row>
    <row r="43">
      <c r="A43" s="88" t="s">
        <v>25</v>
      </c>
      <c r="B43" s="89">
        <v>593.0</v>
      </c>
    </row>
    <row r="44">
      <c r="A44" s="88" t="s">
        <v>88</v>
      </c>
      <c r="B44" s="89">
        <v>621.0</v>
      </c>
    </row>
    <row r="47">
      <c r="A47" s="91"/>
    </row>
    <row r="48">
      <c r="A48" s="91"/>
    </row>
    <row r="49">
      <c r="A49" s="91"/>
    </row>
    <row r="50">
      <c r="A50" s="91"/>
    </row>
    <row r="51">
      <c r="A51" s="90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1"/>
    </row>
    <row r="72">
      <c r="A72" s="91"/>
    </row>
    <row r="73">
      <c r="A73" s="91"/>
    </row>
    <row r="74">
      <c r="A74" s="91"/>
    </row>
    <row r="75">
      <c r="A75" s="91"/>
    </row>
    <row r="76">
      <c r="A76" s="91"/>
    </row>
    <row r="77">
      <c r="A77" s="91"/>
    </row>
    <row r="78">
      <c r="A78" s="91"/>
    </row>
    <row r="79">
      <c r="A79" s="91"/>
    </row>
    <row r="80">
      <c r="A80" s="91"/>
    </row>
    <row r="81">
      <c r="A81" s="91"/>
    </row>
    <row r="82">
      <c r="A82" s="91"/>
    </row>
    <row r="83">
      <c r="A83" s="91"/>
    </row>
    <row r="84">
      <c r="A84" s="90"/>
    </row>
    <row r="85">
      <c r="A85" s="90"/>
    </row>
    <row r="86">
      <c r="A86" s="90"/>
    </row>
    <row r="87">
      <c r="A87" s="90"/>
    </row>
    <row r="88">
      <c r="A88" s="90"/>
    </row>
    <row r="89">
      <c r="A89" s="90"/>
    </row>
    <row r="90">
      <c r="A90" s="90"/>
    </row>
    <row r="91">
      <c r="A91" s="90"/>
    </row>
    <row r="92">
      <c r="A92" s="90"/>
    </row>
    <row r="93">
      <c r="A93" s="9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4" t="s">
        <v>35</v>
      </c>
      <c r="B1" s="87" t="s">
        <v>36</v>
      </c>
    </row>
    <row r="2">
      <c r="A2" s="89" t="s">
        <v>56</v>
      </c>
      <c r="B2" s="92">
        <v>215.0</v>
      </c>
    </row>
    <row r="3">
      <c r="A3" s="89" t="s">
        <v>57</v>
      </c>
      <c r="B3" s="92">
        <v>440.0</v>
      </c>
    </row>
    <row r="4">
      <c r="A4" s="89" t="s">
        <v>58</v>
      </c>
      <c r="B4" s="92">
        <v>440.0</v>
      </c>
    </row>
    <row r="5">
      <c r="A5" s="89" t="s">
        <v>59</v>
      </c>
      <c r="B5" s="92">
        <v>325.0</v>
      </c>
    </row>
    <row r="6">
      <c r="A6" s="89" t="s">
        <v>60</v>
      </c>
      <c r="B6" s="92">
        <v>390.0</v>
      </c>
    </row>
    <row r="7">
      <c r="A7" s="89" t="s">
        <v>104</v>
      </c>
      <c r="B7" s="92">
        <v>375.0</v>
      </c>
    </row>
    <row r="8">
      <c r="A8" s="89" t="s">
        <v>105</v>
      </c>
      <c r="B8" s="92">
        <v>999.0</v>
      </c>
    </row>
    <row r="9">
      <c r="A9" s="89" t="s">
        <v>106</v>
      </c>
      <c r="B9" s="92">
        <v>1005.0</v>
      </c>
    </row>
    <row r="10">
      <c r="A10" s="89" t="s">
        <v>69</v>
      </c>
      <c r="B10" s="92">
        <v>340.0</v>
      </c>
    </row>
    <row r="11">
      <c r="A11" s="89" t="s">
        <v>70</v>
      </c>
      <c r="B11" s="92">
        <v>460.0</v>
      </c>
    </row>
    <row r="12">
      <c r="A12" s="89" t="s">
        <v>107</v>
      </c>
      <c r="B12" s="92">
        <v>990.0</v>
      </c>
    </row>
    <row r="13">
      <c r="A13" s="89" t="s">
        <v>72</v>
      </c>
      <c r="B13" s="92">
        <v>1150.0</v>
      </c>
    </row>
    <row r="14">
      <c r="A14" s="89" t="s">
        <v>74</v>
      </c>
      <c r="B14" s="92">
        <v>260.0</v>
      </c>
    </row>
    <row r="15">
      <c r="A15" s="89" t="s">
        <v>75</v>
      </c>
      <c r="B15" s="92">
        <v>1145.0</v>
      </c>
    </row>
    <row r="16">
      <c r="A16" s="89" t="s">
        <v>76</v>
      </c>
      <c r="B16" s="92">
        <v>265.0</v>
      </c>
    </row>
    <row r="17">
      <c r="A17" s="89" t="s">
        <v>93</v>
      </c>
      <c r="B17" s="92">
        <v>65.0</v>
      </c>
    </row>
    <row r="18">
      <c r="A18" s="89" t="s">
        <v>79</v>
      </c>
      <c r="B18" s="92">
        <v>1670.0</v>
      </c>
    </row>
    <row r="19">
      <c r="A19" s="89" t="s">
        <v>95</v>
      </c>
      <c r="B19" s="92">
        <v>1670.0</v>
      </c>
    </row>
    <row r="20">
      <c r="A20" s="89" t="s">
        <v>86</v>
      </c>
      <c r="B20" s="92">
        <v>480.0</v>
      </c>
    </row>
    <row r="21">
      <c r="A21" s="89" t="s">
        <v>87</v>
      </c>
      <c r="B21" s="92">
        <v>480.0</v>
      </c>
    </row>
    <row r="22">
      <c r="A22" s="88" t="s">
        <v>48</v>
      </c>
      <c r="B22" s="92">
        <v>345.0</v>
      </c>
    </row>
    <row r="23">
      <c r="A23" s="88" t="s">
        <v>18</v>
      </c>
      <c r="B23" s="92">
        <v>345.0</v>
      </c>
    </row>
    <row r="24">
      <c r="A24" s="88" t="s">
        <v>19</v>
      </c>
      <c r="B24" s="92">
        <v>420.0</v>
      </c>
    </row>
    <row r="25">
      <c r="A25" s="88" t="s">
        <v>20</v>
      </c>
      <c r="B25" s="89">
        <v>520.0</v>
      </c>
    </row>
    <row r="26">
      <c r="A26" s="88" t="s">
        <v>21</v>
      </c>
      <c r="B26" s="89">
        <v>700.0</v>
      </c>
    </row>
    <row r="27">
      <c r="A27" s="88" t="s">
        <v>22</v>
      </c>
      <c r="B27" s="89">
        <v>815.0</v>
      </c>
    </row>
    <row r="28">
      <c r="A28" s="88" t="s">
        <v>23</v>
      </c>
      <c r="B28" s="89">
        <v>840.0</v>
      </c>
    </row>
    <row r="29">
      <c r="A29" s="88" t="s">
        <v>24</v>
      </c>
      <c r="B29" s="89">
        <v>1080.0</v>
      </c>
    </row>
    <row r="30">
      <c r="A30" s="88" t="s">
        <v>25</v>
      </c>
      <c r="B30" s="89">
        <v>1145.0</v>
      </c>
    </row>
    <row r="31">
      <c r="A31" s="88" t="s">
        <v>88</v>
      </c>
      <c r="B31" s="89">
        <v>1470.0</v>
      </c>
    </row>
    <row r="34">
      <c r="A34" s="91"/>
    </row>
    <row r="35">
      <c r="A35" s="91"/>
    </row>
    <row r="36">
      <c r="A36" s="91"/>
    </row>
    <row r="37">
      <c r="A37" s="91"/>
    </row>
    <row r="38">
      <c r="A38" s="90"/>
    </row>
    <row r="39">
      <c r="A39" s="91"/>
    </row>
    <row r="40">
      <c r="A40" s="91"/>
    </row>
    <row r="41">
      <c r="A41" s="91"/>
    </row>
    <row r="42">
      <c r="A42" s="91"/>
    </row>
    <row r="43">
      <c r="A43" s="91"/>
    </row>
    <row r="44">
      <c r="A44" s="91"/>
    </row>
    <row r="45">
      <c r="A45" s="91"/>
    </row>
    <row r="46">
      <c r="A46" s="91"/>
    </row>
    <row r="47">
      <c r="A47" s="91"/>
    </row>
    <row r="48">
      <c r="A48" s="91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0"/>
    </row>
    <row r="72">
      <c r="A72" s="90"/>
    </row>
    <row r="73">
      <c r="A73" s="90"/>
    </row>
    <row r="74">
      <c r="A74" s="90"/>
    </row>
    <row r="75">
      <c r="A75" s="90"/>
    </row>
    <row r="76">
      <c r="A76" s="90"/>
    </row>
    <row r="77">
      <c r="A77" s="90"/>
    </row>
    <row r="78">
      <c r="A78" s="90"/>
    </row>
    <row r="79">
      <c r="A79" s="90"/>
    </row>
    <row r="80">
      <c r="A80" s="9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4" t="s">
        <v>35</v>
      </c>
      <c r="B1" s="87" t="s">
        <v>36</v>
      </c>
    </row>
    <row r="2">
      <c r="A2" s="89" t="s">
        <v>56</v>
      </c>
      <c r="B2" s="92">
        <v>150.0</v>
      </c>
    </row>
    <row r="3">
      <c r="A3" s="89" t="s">
        <v>57</v>
      </c>
      <c r="B3" s="92">
        <v>305.0</v>
      </c>
    </row>
    <row r="4">
      <c r="A4" s="89" t="s">
        <v>58</v>
      </c>
      <c r="B4" s="92">
        <v>305.0</v>
      </c>
    </row>
    <row r="5">
      <c r="A5" s="89" t="s">
        <v>59</v>
      </c>
      <c r="B5" s="92">
        <v>225.0</v>
      </c>
    </row>
    <row r="6">
      <c r="A6" s="89" t="s">
        <v>60</v>
      </c>
      <c r="B6" s="92">
        <v>275.0</v>
      </c>
    </row>
    <row r="7">
      <c r="A7" s="89" t="s">
        <v>104</v>
      </c>
      <c r="B7" s="92">
        <v>260.0</v>
      </c>
    </row>
    <row r="8">
      <c r="A8" s="89" t="s">
        <v>105</v>
      </c>
      <c r="B8" s="92">
        <v>695.0</v>
      </c>
    </row>
    <row r="9">
      <c r="A9" s="89" t="s">
        <v>106</v>
      </c>
      <c r="B9" s="92">
        <v>700.0</v>
      </c>
    </row>
    <row r="10">
      <c r="A10" s="89" t="s">
        <v>69</v>
      </c>
      <c r="B10" s="92">
        <v>235.0</v>
      </c>
    </row>
    <row r="11">
      <c r="A11" s="89" t="s">
        <v>70</v>
      </c>
      <c r="B11" s="92">
        <v>320.0</v>
      </c>
    </row>
    <row r="12">
      <c r="A12" s="89" t="s">
        <v>107</v>
      </c>
      <c r="B12" s="92">
        <v>690.0</v>
      </c>
    </row>
    <row r="13">
      <c r="A13" s="89" t="s">
        <v>72</v>
      </c>
      <c r="B13" s="92">
        <v>800.0</v>
      </c>
    </row>
    <row r="14">
      <c r="A14" s="89" t="s">
        <v>74</v>
      </c>
      <c r="B14" s="92">
        <v>210.0</v>
      </c>
    </row>
    <row r="15">
      <c r="A15" s="89" t="s">
        <v>75</v>
      </c>
      <c r="B15" s="92">
        <v>655.0</v>
      </c>
    </row>
    <row r="16">
      <c r="A16" s="89" t="s">
        <v>76</v>
      </c>
      <c r="B16" s="92">
        <v>215.0</v>
      </c>
    </row>
    <row r="17">
      <c r="A17" s="89" t="s">
        <v>93</v>
      </c>
      <c r="B17" s="92">
        <v>55.0</v>
      </c>
    </row>
    <row r="18">
      <c r="A18" s="89" t="s">
        <v>79</v>
      </c>
      <c r="B18" s="92">
        <v>1265.0</v>
      </c>
    </row>
    <row r="19">
      <c r="A19" s="89" t="s">
        <v>95</v>
      </c>
      <c r="B19" s="92">
        <v>1265.0</v>
      </c>
    </row>
    <row r="20">
      <c r="A20" s="89" t="s">
        <v>86</v>
      </c>
      <c r="B20" s="92">
        <v>370.0</v>
      </c>
    </row>
    <row r="21">
      <c r="A21" s="89" t="s">
        <v>87</v>
      </c>
      <c r="B21" s="92">
        <v>370.0</v>
      </c>
    </row>
    <row r="22">
      <c r="A22" s="88" t="s">
        <v>48</v>
      </c>
      <c r="B22" s="92">
        <v>240.0</v>
      </c>
    </row>
    <row r="23">
      <c r="A23" s="88" t="s">
        <v>18</v>
      </c>
      <c r="B23" s="92">
        <v>240.0</v>
      </c>
    </row>
    <row r="24">
      <c r="A24" s="88" t="s">
        <v>19</v>
      </c>
      <c r="B24" s="92">
        <v>290.0</v>
      </c>
    </row>
    <row r="25">
      <c r="A25" s="88" t="s">
        <v>20</v>
      </c>
      <c r="B25" s="89">
        <v>360.0</v>
      </c>
    </row>
    <row r="26">
      <c r="A26" s="88" t="s">
        <v>21</v>
      </c>
      <c r="B26" s="89">
        <v>485.0</v>
      </c>
    </row>
    <row r="27">
      <c r="A27" s="88" t="s">
        <v>22</v>
      </c>
      <c r="B27" s="89">
        <v>565.0</v>
      </c>
    </row>
    <row r="28">
      <c r="A28" s="88" t="s">
        <v>23</v>
      </c>
      <c r="B28" s="89">
        <v>585.0</v>
      </c>
    </row>
    <row r="29">
      <c r="A29" s="88" t="s">
        <v>24</v>
      </c>
      <c r="B29" s="89">
        <v>750.0</v>
      </c>
    </row>
    <row r="30">
      <c r="A30" s="88" t="s">
        <v>25</v>
      </c>
      <c r="B30" s="89">
        <v>795.0</v>
      </c>
    </row>
    <row r="31">
      <c r="A31" s="88" t="s">
        <v>88</v>
      </c>
      <c r="B31" s="89">
        <v>1020.0</v>
      </c>
    </row>
    <row r="34">
      <c r="A34" s="91"/>
    </row>
    <row r="35">
      <c r="A35" s="91"/>
    </row>
    <row r="36">
      <c r="A36" s="91"/>
    </row>
    <row r="37">
      <c r="A37" s="91"/>
    </row>
    <row r="38">
      <c r="A38" s="90"/>
    </row>
    <row r="39">
      <c r="A39" s="91"/>
    </row>
    <row r="40">
      <c r="A40" s="91"/>
    </row>
    <row r="41">
      <c r="A41" s="91"/>
    </row>
    <row r="42">
      <c r="A42" s="91"/>
    </row>
    <row r="43">
      <c r="A43" s="91"/>
    </row>
    <row r="44">
      <c r="A44" s="91"/>
    </row>
    <row r="45">
      <c r="A45" s="91"/>
    </row>
    <row r="46">
      <c r="A46" s="91"/>
    </row>
    <row r="47">
      <c r="A47" s="91"/>
    </row>
    <row r="48">
      <c r="A48" s="91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0"/>
    </row>
    <row r="72">
      <c r="A72" s="90"/>
    </row>
    <row r="73">
      <c r="A73" s="90"/>
    </row>
    <row r="74">
      <c r="A74" s="90"/>
    </row>
    <row r="75">
      <c r="A75" s="90"/>
    </row>
    <row r="76">
      <c r="A76" s="90"/>
    </row>
    <row r="77">
      <c r="A77" s="90"/>
    </row>
    <row r="78">
      <c r="A78" s="90"/>
    </row>
    <row r="79">
      <c r="A79" s="90"/>
    </row>
    <row r="80">
      <c r="A80" s="9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94" t="s">
        <v>35</v>
      </c>
      <c r="B1" s="87" t="s">
        <v>36</v>
      </c>
    </row>
    <row r="2">
      <c r="A2" s="89" t="s">
        <v>56</v>
      </c>
      <c r="B2" s="92">
        <v>190.0</v>
      </c>
    </row>
    <row r="3">
      <c r="A3" s="89" t="s">
        <v>57</v>
      </c>
      <c r="B3" s="92">
        <v>380.0</v>
      </c>
    </row>
    <row r="4">
      <c r="A4" s="89" t="s">
        <v>58</v>
      </c>
      <c r="B4" s="92">
        <v>380.0</v>
      </c>
    </row>
    <row r="5">
      <c r="A5" s="89" t="s">
        <v>59</v>
      </c>
      <c r="B5" s="92">
        <v>280.0</v>
      </c>
    </row>
    <row r="6">
      <c r="A6" s="89" t="s">
        <v>60</v>
      </c>
      <c r="B6" s="92">
        <v>340.0</v>
      </c>
    </row>
    <row r="7">
      <c r="A7" s="89" t="s">
        <v>104</v>
      </c>
      <c r="B7" s="92">
        <v>340.0</v>
      </c>
    </row>
    <row r="8">
      <c r="A8" s="89" t="s">
        <v>105</v>
      </c>
      <c r="B8" s="92">
        <v>870.0</v>
      </c>
    </row>
    <row r="9">
      <c r="A9" s="89" t="s">
        <v>106</v>
      </c>
      <c r="B9" s="92">
        <v>875.0</v>
      </c>
    </row>
    <row r="10">
      <c r="A10" s="89" t="s">
        <v>69</v>
      </c>
      <c r="B10" s="92">
        <v>295.0</v>
      </c>
    </row>
    <row r="11">
      <c r="A11" s="89" t="s">
        <v>70</v>
      </c>
      <c r="B11" s="92">
        <v>400.0</v>
      </c>
    </row>
    <row r="12">
      <c r="A12" s="89" t="s">
        <v>107</v>
      </c>
      <c r="B12" s="92">
        <v>865.0</v>
      </c>
    </row>
    <row r="13">
      <c r="A13" s="89" t="s">
        <v>72</v>
      </c>
      <c r="B13" s="92">
        <v>1000.0</v>
      </c>
    </row>
    <row r="14">
      <c r="A14" s="89" t="s">
        <v>74</v>
      </c>
      <c r="B14" s="92">
        <v>215.0</v>
      </c>
    </row>
    <row r="15">
      <c r="A15" s="89" t="s">
        <v>75</v>
      </c>
      <c r="B15" s="92">
        <v>1040.0</v>
      </c>
    </row>
    <row r="16">
      <c r="A16" s="89" t="s">
        <v>76</v>
      </c>
      <c r="B16" s="92">
        <v>240.0</v>
      </c>
    </row>
    <row r="17">
      <c r="A17" s="89" t="s">
        <v>93</v>
      </c>
      <c r="B17" s="92">
        <v>60.0</v>
      </c>
    </row>
    <row r="18">
      <c r="A18" s="89" t="s">
        <v>79</v>
      </c>
      <c r="B18" s="92">
        <v>1520.0</v>
      </c>
    </row>
    <row r="19">
      <c r="A19" s="89" t="s">
        <v>95</v>
      </c>
      <c r="B19" s="92">
        <v>1520.0</v>
      </c>
    </row>
    <row r="20">
      <c r="A20" s="89" t="s">
        <v>86</v>
      </c>
      <c r="B20" s="92">
        <v>435.0</v>
      </c>
    </row>
    <row r="21">
      <c r="A21" s="89" t="s">
        <v>87</v>
      </c>
      <c r="B21" s="92">
        <v>435.0</v>
      </c>
    </row>
    <row r="22">
      <c r="A22" s="88" t="s">
        <v>48</v>
      </c>
      <c r="B22" s="92">
        <v>290.0</v>
      </c>
    </row>
    <row r="23">
      <c r="A23" s="88" t="s">
        <v>18</v>
      </c>
      <c r="B23" s="92">
        <v>290.0</v>
      </c>
    </row>
    <row r="24">
      <c r="A24" s="88" t="s">
        <v>19</v>
      </c>
      <c r="B24" s="92">
        <v>350.0</v>
      </c>
    </row>
    <row r="25">
      <c r="A25" s="88" t="s">
        <v>20</v>
      </c>
      <c r="B25" s="89">
        <v>430.0</v>
      </c>
    </row>
    <row r="26">
      <c r="A26" s="88" t="s">
        <v>21</v>
      </c>
      <c r="B26" s="89">
        <v>580.0</v>
      </c>
    </row>
    <row r="27">
      <c r="A27" s="88" t="s">
        <v>22</v>
      </c>
      <c r="B27" s="89">
        <v>680.0</v>
      </c>
    </row>
    <row r="28">
      <c r="A28" s="88" t="s">
        <v>23</v>
      </c>
      <c r="B28" s="89">
        <v>700.0</v>
      </c>
    </row>
    <row r="29">
      <c r="A29" s="88" t="s">
        <v>24</v>
      </c>
      <c r="B29" s="89">
        <v>900.0</v>
      </c>
    </row>
    <row r="30">
      <c r="A30" s="88" t="s">
        <v>25</v>
      </c>
      <c r="B30" s="89">
        <v>955.0</v>
      </c>
    </row>
    <row r="31">
      <c r="A31" s="88" t="s">
        <v>88</v>
      </c>
      <c r="B31" s="89">
        <v>1225.0</v>
      </c>
    </row>
    <row r="34">
      <c r="A34" s="91"/>
    </row>
    <row r="35">
      <c r="A35" s="91"/>
    </row>
    <row r="36">
      <c r="A36" s="91"/>
    </row>
    <row r="37">
      <c r="A37" s="91"/>
    </row>
    <row r="38">
      <c r="A38" s="90"/>
    </row>
    <row r="39">
      <c r="A39" s="91"/>
    </row>
    <row r="40">
      <c r="A40" s="91"/>
    </row>
    <row r="41">
      <c r="A41" s="91"/>
    </row>
    <row r="42">
      <c r="A42" s="91"/>
    </row>
    <row r="43">
      <c r="A43" s="91"/>
    </row>
    <row r="44">
      <c r="A44" s="91"/>
    </row>
    <row r="45">
      <c r="A45" s="91"/>
    </row>
    <row r="46">
      <c r="A46" s="91"/>
    </row>
    <row r="47">
      <c r="A47" s="91"/>
    </row>
    <row r="48">
      <c r="A48" s="91"/>
    </row>
    <row r="49">
      <c r="A49" s="91"/>
    </row>
    <row r="50">
      <c r="A50" s="91"/>
    </row>
    <row r="51">
      <c r="A51" s="91"/>
    </row>
    <row r="52">
      <c r="A52" s="91"/>
    </row>
    <row r="53">
      <c r="A53" s="91"/>
    </row>
    <row r="54">
      <c r="A54" s="91"/>
    </row>
    <row r="55">
      <c r="A55" s="91"/>
    </row>
    <row r="56">
      <c r="A56" s="91"/>
    </row>
    <row r="57">
      <c r="A57" s="91"/>
    </row>
    <row r="58">
      <c r="A58" s="91"/>
    </row>
    <row r="59">
      <c r="A59" s="91"/>
    </row>
    <row r="60">
      <c r="A60" s="91"/>
    </row>
    <row r="61">
      <c r="A61" s="91"/>
    </row>
    <row r="62">
      <c r="A62" s="91"/>
    </row>
    <row r="63">
      <c r="A63" s="91"/>
    </row>
    <row r="64">
      <c r="A64" s="91"/>
    </row>
    <row r="65">
      <c r="A65" s="91"/>
    </row>
    <row r="66">
      <c r="A66" s="91"/>
    </row>
    <row r="67">
      <c r="A67" s="91"/>
    </row>
    <row r="68">
      <c r="A68" s="91"/>
    </row>
    <row r="69">
      <c r="A69" s="91"/>
    </row>
    <row r="70">
      <c r="A70" s="91"/>
    </row>
    <row r="71">
      <c r="A71" s="90"/>
    </row>
    <row r="72">
      <c r="A72" s="90"/>
    </row>
    <row r="73">
      <c r="A73" s="90"/>
    </row>
    <row r="74">
      <c r="A74" s="90"/>
    </row>
    <row r="75">
      <c r="A75" s="90"/>
    </row>
    <row r="76">
      <c r="A76" s="90"/>
    </row>
    <row r="77">
      <c r="A77" s="90"/>
    </row>
    <row r="78">
      <c r="A78" s="90"/>
    </row>
    <row r="79">
      <c r="A79" s="90"/>
    </row>
    <row r="80">
      <c r="A80" s="9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13"/>
    <col customWidth="1" min="3" max="3" width="11.0"/>
    <col customWidth="1" min="4" max="4" width="10.88"/>
    <col customWidth="1" min="5" max="5" width="10.75"/>
  </cols>
  <sheetData>
    <row r="1">
      <c r="B1" s="97" t="s">
        <v>28</v>
      </c>
      <c r="D1" s="97"/>
      <c r="E1" s="97"/>
      <c r="F1" s="98"/>
    </row>
    <row r="2">
      <c r="B2" s="99" t="s">
        <v>29</v>
      </c>
      <c r="D2" s="99"/>
      <c r="E2" s="99"/>
      <c r="F2" s="98"/>
    </row>
    <row r="3">
      <c r="B3" s="99" t="s">
        <v>30</v>
      </c>
      <c r="D3" s="99"/>
      <c r="E3" s="99"/>
      <c r="F3" s="98"/>
    </row>
    <row r="4">
      <c r="B4" s="99" t="s">
        <v>31</v>
      </c>
      <c r="D4" s="99"/>
      <c r="E4" s="99"/>
      <c r="F4" s="98"/>
    </row>
    <row r="5">
      <c r="B5" s="99" t="s">
        <v>32</v>
      </c>
      <c r="D5" s="99"/>
      <c r="E5" s="99"/>
      <c r="F5" s="98"/>
    </row>
    <row r="6">
      <c r="B6" s="99" t="s">
        <v>33</v>
      </c>
      <c r="D6" s="99"/>
      <c r="E6" s="99"/>
      <c r="F6" s="98"/>
    </row>
    <row r="8">
      <c r="B8" s="100" t="s">
        <v>34</v>
      </c>
      <c r="F8" s="100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1"/>
      <c r="B9" s="100"/>
      <c r="C9" s="101"/>
      <c r="D9" s="101"/>
      <c r="E9" s="101"/>
    </row>
    <row r="10" ht="59.25" customHeight="1">
      <c r="A10" s="102"/>
      <c r="H10" s="102"/>
    </row>
  </sheetData>
  <mergeCells count="2">
    <mergeCell ref="B8:E8"/>
    <mergeCell ref="A10:G10"/>
  </mergeCells>
  <drawing r:id="rId1"/>
</worksheet>
</file>